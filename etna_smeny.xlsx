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Дашборд" sheetId="2" state="visible" r:id="rId2"/>
    <sheet xmlns:r="http://schemas.openxmlformats.org/officeDocument/2006/relationships" name="Настройки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\.mm\.yyyy"/>
    <numFmt numFmtId="165" formatCode="#,##0.00&quot; ₽&quot;"/>
    <numFmt numFmtId="166" formatCode="0.0%"/>
    <numFmt numFmtId="167" formatCode="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A1A1A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1A1A1A"/>
      <sz val="18"/>
    </font>
    <font>
      <name val="Arial"/>
      <charset val="1"/>
      <family val="0"/>
      <b val="1"/>
      <color rgb="FF1A1A1A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00FF"/>
      <sz val="11"/>
    </font>
    <font>
      <name val="Arial"/>
      <sz val="10"/>
    </font>
    <font>
      <name val="Arial"/>
      <b val="1"/>
      <color rgb="000000FF"/>
      <sz val="14"/>
    </font>
    <font>
      <name val="Arial"/>
      <b val="1"/>
      <color rgb="000000FF"/>
      <sz val="10"/>
    </font>
    <font>
      <name val="Arial"/>
      <b val="1"/>
      <color rgb="000000FF"/>
      <sz val="11"/>
    </font>
  </fonts>
  <fills count="9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0E4CC"/>
        <bgColor rgb="FFFDECEA"/>
      </patternFill>
    </fill>
    <fill>
      <patternFill patternType="solid">
        <fgColor rgb="FFC8A96E"/>
        <bgColor rgb="FF969696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6F5EC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1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7" fillId="5" borderId="2" applyAlignment="1" pivotButton="0" quotePrefix="0" xfId="0">
      <alignment horizontal="left" vertical="center"/>
    </xf>
    <xf numFmtId="49" fontId="7" fillId="5" borderId="2" applyAlignment="1" pivotButton="0" quotePrefix="0" xfId="0">
      <alignment horizontal="center" vertical="center"/>
    </xf>
    <xf numFmtId="49" fontId="7" fillId="5" borderId="2" applyAlignment="1" pivotButton="0" quotePrefix="0" xfId="0">
      <alignment horizontal="left" vertical="center"/>
    </xf>
    <xf numFmtId="165" fontId="7" fillId="5" borderId="2" applyAlignment="1" pivotButton="0" quotePrefix="0" xfId="0">
      <alignment horizontal="right" vertical="center"/>
    </xf>
    <xf numFmtId="1" fontId="7" fillId="5" borderId="2" applyAlignment="1" pivotButton="0" quotePrefix="0" xfId="0">
      <alignment horizontal="center" vertical="center"/>
    </xf>
    <xf numFmtId="166" fontId="7" fillId="5" borderId="2" applyAlignment="1" pivotButton="0" quotePrefix="0" xfId="0">
      <alignment horizontal="right" vertical="center"/>
    </xf>
    <xf numFmtId="164" fontId="7" fillId="6" borderId="2" applyAlignment="1" pivotButton="0" quotePrefix="0" xfId="0">
      <alignment horizontal="left" vertical="center"/>
    </xf>
    <xf numFmtId="49" fontId="7" fillId="6" borderId="2" applyAlignment="1" pivotButton="0" quotePrefix="0" xfId="0">
      <alignment horizontal="center" vertical="center"/>
    </xf>
    <xf numFmtId="49" fontId="7" fillId="6" borderId="2" applyAlignment="1" pivotButton="0" quotePrefix="0" xfId="0">
      <alignment horizontal="left" vertical="center"/>
    </xf>
    <xf numFmtId="165" fontId="7" fillId="6" borderId="2" applyAlignment="1" pivotButton="0" quotePrefix="0" xfId="0">
      <alignment horizontal="right" vertical="center"/>
    </xf>
    <xf numFmtId="1" fontId="7" fillId="6" borderId="2" applyAlignment="1" pivotButton="0" quotePrefix="0" xfId="0">
      <alignment horizontal="center" vertical="center"/>
    </xf>
    <xf numFmtId="166" fontId="7" fillId="6" borderId="2" applyAlignment="1" pivotButton="0" quotePrefix="0" xfId="0">
      <alignment horizontal="right" vertical="center"/>
    </xf>
    <xf numFmtId="1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7" fillId="5" borderId="2" applyAlignment="1" pivotButton="0" quotePrefix="0" xfId="0">
      <alignment horizontal="left" vertical="center"/>
    </xf>
    <xf numFmtId="49" fontId="7" fillId="5" borderId="2" applyAlignment="1" pivotButton="0" quotePrefix="0" xfId="0">
      <alignment horizontal="center" vertical="center"/>
    </xf>
    <xf numFmtId="49" fontId="7" fillId="5" borderId="2" applyAlignment="1" pivotButton="0" quotePrefix="0" xfId="0">
      <alignment horizontal="left" vertical="center"/>
    </xf>
    <xf numFmtId="165" fontId="7" fillId="5" borderId="2" applyAlignment="1" pivotButton="0" quotePrefix="0" xfId="0">
      <alignment horizontal="right" vertical="center"/>
    </xf>
    <xf numFmtId="1" fontId="7" fillId="5" borderId="2" applyAlignment="1" pivotButton="0" quotePrefix="0" xfId="0">
      <alignment horizontal="center" vertical="center"/>
    </xf>
    <xf numFmtId="166" fontId="7" fillId="5" borderId="2" applyAlignment="1" pivotButton="0" quotePrefix="0" xfId="0">
      <alignment horizontal="right" vertical="center"/>
    </xf>
    <xf numFmtId="164" fontId="7" fillId="6" borderId="2" applyAlignment="1" pivotButton="0" quotePrefix="0" xfId="0">
      <alignment horizontal="left" vertical="center"/>
    </xf>
    <xf numFmtId="49" fontId="7" fillId="6" borderId="2" applyAlignment="1" pivotButton="0" quotePrefix="0" xfId="0">
      <alignment horizontal="center" vertical="center"/>
    </xf>
    <xf numFmtId="49" fontId="7" fillId="6" borderId="2" applyAlignment="1" pivotButton="0" quotePrefix="0" xfId="0">
      <alignment horizontal="left" vertical="center"/>
    </xf>
    <xf numFmtId="165" fontId="7" fillId="6" borderId="2" applyAlignment="1" pivotButton="0" quotePrefix="0" xfId="0">
      <alignment horizontal="right" vertical="center"/>
    </xf>
    <xf numFmtId="1" fontId="7" fillId="6" borderId="2" applyAlignment="1" pivotButton="0" quotePrefix="0" xfId="0">
      <alignment horizontal="center" vertical="center"/>
    </xf>
    <xf numFmtId="166" fontId="7" fillId="6" borderId="2" applyAlignment="1" pivotButton="0" quotePrefix="0" xfId="0">
      <alignment horizontal="right" vertical="center"/>
    </xf>
    <xf numFmtId="1" fontId="8" fillId="6" borderId="1" applyAlignment="1" pivotButton="0" quotePrefix="0" xfId="0">
      <alignment horizontal="center" vertical="center"/>
    </xf>
    <xf numFmtId="0" fontId="0" fillId="0" borderId="5" pivotButton="0" quotePrefix="0" xfId="0"/>
    <xf numFmtId="165" fontId="8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general" vertical="bottom"/>
    </xf>
    <xf numFmtId="0" fontId="0" fillId="0" borderId="6" pivotButton="0" quotePrefix="0" xfId="0"/>
    <xf numFmtId="0" fontId="11" fillId="5" borderId="1" applyAlignment="1" pivotButton="0" quotePrefix="0" xfId="0">
      <alignment horizontal="center" vertical="center"/>
    </xf>
    <xf numFmtId="0" fontId="12" fillId="7" borderId="7" pivotButton="0" quotePrefix="0" xfId="0"/>
    <xf numFmtId="0" fontId="0" fillId="0" borderId="10" pivotButton="0" quotePrefix="0" xfId="0"/>
    <xf numFmtId="0" fontId="0" fillId="0" borderId="11" pivotButton="0" quotePrefix="0" xfId="0"/>
    <xf numFmtId="49" fontId="13" fillId="8" borderId="7" applyAlignment="1" pivotButton="0" quotePrefix="0" xfId="0">
      <alignment horizontal="center" vertical="center"/>
    </xf>
    <xf numFmtId="49" fontId="14" fillId="8" borderId="7" applyAlignment="1" pivotButton="0" quotePrefix="0" xfId="0">
      <alignment horizontal="center" vertical="center"/>
    </xf>
    <xf numFmtId="0" fontId="15" fillId="8" borderId="7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color rgb="FF5AB87A"/>
      </font>
      <fill>
        <patternFill>
          <bgColor rgb="FFE6F5EC"/>
        </patternFill>
      </fill>
    </dxf>
    <dxf>
      <font>
        <color rgb="FFE05A4A"/>
      </font>
      <fill>
        <patternFill>
          <bgColor rgb="FFFDEC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A96E"/>
      <rgbColor rgb="FF808080"/>
      <rgbColor rgb="FF9999FF"/>
      <rgbColor rgb="FF993366"/>
      <rgbColor rgb="FFF5F5F5"/>
      <rgbColor rgb="FFE6F5EC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0E4CC"/>
      <rgbColor rgb="FF3366FF"/>
      <rgbColor rgb="FF33CCCC"/>
      <rgbColor rgb="FF99CC00"/>
      <rgbColor rgb="FFFFCC00"/>
      <rgbColor rgb="FFFF9900"/>
      <rgbColor rgb="FFE05A4A"/>
      <rgbColor rgb="FF666699"/>
      <rgbColor rgb="FF969696"/>
      <rgbColor rgb="FF003366"/>
      <rgbColor rgb="FF5AB87A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10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3" min="1" max="1"/>
    <col width="7" customWidth="1" style="43" min="2" max="2"/>
    <col width="16" customWidth="1" style="43" min="3" max="3"/>
    <col width="14" customWidth="1" style="43" min="4" max="5"/>
    <col width="12" customWidth="1" style="43" min="6" max="6"/>
    <col width="14" customWidth="1" style="43" min="7" max="9"/>
    <col width="13" customWidth="1" style="43" min="10" max="11"/>
    <col width="15" customWidth="1" style="43" min="12" max="12"/>
    <col width="12" customWidth="1" style="43" min="13" max="15"/>
    <col width="14" customWidth="1" style="43" min="16" max="18"/>
    <col width="15" customWidth="1" style="43" min="19" max="19"/>
    <col width="14" customWidth="1" style="43" min="20" max="20"/>
    <col width="15" customWidth="1" style="43" min="21" max="21"/>
    <col width="13" customWidth="1" style="43" min="22" max="22"/>
    <col width="14" customWidth="1" style="43" min="23" max="24"/>
  </cols>
  <sheetData>
    <row r="1" ht="31.5" customHeight="1" s="44">
      <c r="A1" s="45" t="inlineStr">
        <is>
          <t>ЭТНА — Журнал закрытия смен</t>
        </is>
      </c>
    </row>
    <row r="2" ht="19.5" customHeight="1" s="44">
      <c r="A2" s="46" t="inlineStr">
        <is>
          <t>СМЕНА</t>
        </is>
      </c>
      <c r="D2" s="46" t="inlineStr">
        <is>
          <t>ОТКРЫТИЕ</t>
        </is>
      </c>
      <c r="G2" s="46" t="inlineStr">
        <is>
          <t>ДОХОДЫ</t>
        </is>
      </c>
      <c r="M2" s="46" t="inlineStr">
        <is>
          <t>РАСХОДЫ</t>
        </is>
      </c>
      <c r="R2" s="46" t="inlineStr">
        <is>
          <t>ИНКАССАЦИЯ</t>
        </is>
      </c>
      <c r="S2" s="46" t="inlineStr">
        <is>
          <t>СВЕРКА КАССЫ</t>
        </is>
      </c>
      <c r="W2" s="46" t="inlineStr">
        <is>
          <t>ПЛАН VS ФАКТ</t>
        </is>
      </c>
    </row>
    <row r="3" ht="36" customHeight="1" s="44">
      <c r="A3" s="47" t="inlineStr">
        <is>
          <t>Дата</t>
        </is>
      </c>
      <c r="B3" s="47" t="inlineStr">
        <is>
          <t>День</t>
        </is>
      </c>
      <c r="C3" s="47" t="inlineStr">
        <is>
          <t>Сотрудник</t>
        </is>
      </c>
      <c r="D3" s="47" t="inlineStr">
        <is>
          <t>Откр. (расч.)</t>
        </is>
      </c>
      <c r="E3" s="47" t="inlineStr">
        <is>
          <t>Откр. (факт)</t>
        </is>
      </c>
      <c r="F3" s="47" t="inlineStr">
        <is>
          <t>Откр. Δ</t>
        </is>
      </c>
      <c r="G3" s="47" t="inlineStr">
        <is>
          <t>Терминал 1</t>
        </is>
      </c>
      <c r="H3" s="47" t="inlineStr">
        <is>
          <t>Терминал 2</t>
        </is>
      </c>
      <c r="I3" s="47" t="inlineStr">
        <is>
          <t>Безнал итого</t>
        </is>
      </c>
      <c r="J3" s="47" t="inlineStr">
        <is>
          <t>Наличные</t>
        </is>
      </c>
      <c r="K3" s="47" t="inlineStr">
        <is>
          <t>Переводы</t>
        </is>
      </c>
      <c r="L3" s="47" t="inlineStr">
        <is>
          <t>Выручка итого</t>
        </is>
      </c>
      <c r="M3" s="47" t="inlineStr">
        <is>
          <t>Такси</t>
        </is>
      </c>
      <c r="N3" s="47" t="inlineStr">
        <is>
          <t>Мойка</t>
        </is>
      </c>
      <c r="O3" s="47" t="inlineStr">
        <is>
          <t>Кальяны (шт)</t>
        </is>
      </c>
      <c r="P3" s="47" t="inlineStr">
        <is>
          <t>Выпл. кальяны</t>
        </is>
      </c>
      <c r="Q3" s="47" t="inlineStr">
        <is>
          <t>Доп. расходы</t>
        </is>
      </c>
      <c r="R3" s="47" t="inlineStr">
        <is>
          <t>Инкассация</t>
        </is>
      </c>
      <c r="S3" s="47" t="inlineStr">
        <is>
          <t>Остаток (факт)</t>
        </is>
      </c>
      <c r="T3" s="47" t="inlineStr">
        <is>
          <t>Переводы (ref)</t>
        </is>
      </c>
      <c r="U3" s="47" t="inlineStr">
        <is>
          <t>Остаток (расч.)</t>
        </is>
      </c>
      <c r="V3" s="47" t="inlineStr">
        <is>
          <t>Разница</t>
        </is>
      </c>
      <c r="W3" s="47" t="inlineStr">
        <is>
          <t>План выручки</t>
        </is>
      </c>
      <c r="X3" s="47" t="inlineStr">
        <is>
          <t>% выполнения</t>
        </is>
      </c>
    </row>
    <row r="4" ht="15" customHeight="1" s="44">
      <c r="A4" s="48" t="n"/>
      <c r="B4" s="49" t="n"/>
      <c r="C4" s="50" t="n"/>
      <c r="D4" s="51" t="n"/>
      <c r="E4" s="51" t="n"/>
      <c r="F4" s="51">
        <f>IFERROR(E4-D4,"")</f>
        <v/>
      </c>
      <c r="G4" s="51" t="n"/>
      <c r="H4" s="51" t="n"/>
      <c r="I4" s="51">
        <f>IFERROR(G4+H4,"")</f>
        <v/>
      </c>
      <c r="J4" s="51" t="n"/>
      <c r="K4" s="51" t="n"/>
      <c r="L4" s="51">
        <f>IFERROR(I4+J4+K4,"")</f>
        <v/>
      </c>
      <c r="M4" s="51" t="n"/>
      <c r="N4" s="51" t="n"/>
      <c r="O4" s="52" t="n"/>
      <c r="P4" s="51" t="n"/>
      <c r="Q4" s="51" t="n"/>
      <c r="R4" s="51" t="n"/>
      <c r="S4" s="51" t="n"/>
      <c r="T4" s="51">
        <f>IFERROR(K4,"")</f>
        <v/>
      </c>
      <c r="U4" s="51">
        <f>IFERROR(E4+J4+K4-M4-N4-P4-Q4-R4,"")</f>
        <v/>
      </c>
      <c r="V4" s="51">
        <f>IFERROR(S4-U4,"")</f>
        <v/>
      </c>
      <c r="W4" s="51" t="n"/>
      <c r="X4" s="53">
        <f>IFERROR(L4/W4,"")</f>
        <v/>
      </c>
    </row>
    <row r="5" ht="15" customHeight="1" s="44">
      <c r="A5" s="54" t="n"/>
      <c r="B5" s="55" t="n"/>
      <c r="C5" s="56" t="n"/>
      <c r="D5" s="57" t="n"/>
      <c r="E5" s="57" t="n"/>
      <c r="F5" s="57">
        <f>IFERROR(E5-D5,"")</f>
        <v/>
      </c>
      <c r="G5" s="57" t="n"/>
      <c r="H5" s="57" t="n"/>
      <c r="I5" s="57">
        <f>IFERROR(G5+H5,"")</f>
        <v/>
      </c>
      <c r="J5" s="57" t="n"/>
      <c r="K5" s="57" t="n"/>
      <c r="L5" s="57">
        <f>IFERROR(I5+J5+K5,"")</f>
        <v/>
      </c>
      <c r="M5" s="57" t="n"/>
      <c r="N5" s="57" t="n"/>
      <c r="O5" s="58" t="n"/>
      <c r="P5" s="57" t="n"/>
      <c r="Q5" s="57" t="n"/>
      <c r="R5" s="57" t="n"/>
      <c r="S5" s="57" t="n"/>
      <c r="T5" s="57">
        <f>IFERROR(K5,"")</f>
        <v/>
      </c>
      <c r="U5" s="57">
        <f>IFERROR(E5+J5+K5-M5-N5-P5-Q5-R5,"")</f>
        <v/>
      </c>
      <c r="V5" s="57">
        <f>IFERROR(S5-U5,"")</f>
        <v/>
      </c>
      <c r="W5" s="57" t="n"/>
      <c r="X5" s="59">
        <f>IFERROR(L5/W5,"")</f>
        <v/>
      </c>
    </row>
    <row r="6" ht="15" customHeight="1" s="44">
      <c r="A6" s="48" t="n"/>
      <c r="B6" s="49" t="n"/>
      <c r="C6" s="50" t="n"/>
      <c r="D6" s="51" t="n"/>
      <c r="E6" s="51" t="n"/>
      <c r="F6" s="51">
        <f>IFERROR(E6-D6,"")</f>
        <v/>
      </c>
      <c r="G6" s="51" t="n"/>
      <c r="H6" s="51" t="n"/>
      <c r="I6" s="51">
        <f>IFERROR(G6+H6,"")</f>
        <v/>
      </c>
      <c r="J6" s="51" t="n"/>
      <c r="K6" s="51" t="n"/>
      <c r="L6" s="51">
        <f>IFERROR(I6+J6+K6,"")</f>
        <v/>
      </c>
      <c r="M6" s="51" t="n"/>
      <c r="N6" s="51" t="n"/>
      <c r="O6" s="52" t="n"/>
      <c r="P6" s="51" t="n"/>
      <c r="Q6" s="51" t="n"/>
      <c r="R6" s="51" t="n"/>
      <c r="S6" s="51" t="n"/>
      <c r="T6" s="51">
        <f>IFERROR(K6,"")</f>
        <v/>
      </c>
      <c r="U6" s="51">
        <f>IFERROR(E6+J6+K6-M6-N6-P6-Q6-R6,"")</f>
        <v/>
      </c>
      <c r="V6" s="51">
        <f>IFERROR(S6-U6,"")</f>
        <v/>
      </c>
      <c r="W6" s="51" t="n"/>
      <c r="X6" s="53">
        <f>IFERROR(L6/W6,"")</f>
        <v/>
      </c>
    </row>
    <row r="7" ht="15" customHeight="1" s="44">
      <c r="A7" s="54" t="n"/>
      <c r="B7" s="55" t="n"/>
      <c r="C7" s="56" t="n"/>
      <c r="D7" s="57" t="n"/>
      <c r="E7" s="57" t="n"/>
      <c r="F7" s="57">
        <f>IFERROR(E7-D7,"")</f>
        <v/>
      </c>
      <c r="G7" s="57" t="n"/>
      <c r="H7" s="57" t="n"/>
      <c r="I7" s="57">
        <f>IFERROR(G7+H7,"")</f>
        <v/>
      </c>
      <c r="J7" s="57" t="n"/>
      <c r="K7" s="57" t="n"/>
      <c r="L7" s="57">
        <f>IFERROR(I7+J7+K7,"")</f>
        <v/>
      </c>
      <c r="M7" s="57" t="n"/>
      <c r="N7" s="57" t="n"/>
      <c r="O7" s="58" t="n"/>
      <c r="P7" s="57" t="n"/>
      <c r="Q7" s="57" t="n"/>
      <c r="R7" s="57" t="n"/>
      <c r="S7" s="57" t="n"/>
      <c r="T7" s="57">
        <f>IFERROR(K7,"")</f>
        <v/>
      </c>
      <c r="U7" s="57">
        <f>IFERROR(E7+J7+K7-M7-N7-P7-Q7-R7,"")</f>
        <v/>
      </c>
      <c r="V7" s="57">
        <f>IFERROR(S7-U7,"")</f>
        <v/>
      </c>
      <c r="W7" s="57" t="n"/>
      <c r="X7" s="59">
        <f>IFERROR(L7/W7,"")</f>
        <v/>
      </c>
    </row>
    <row r="8" ht="15" customHeight="1" s="44">
      <c r="A8" s="48" t="n"/>
      <c r="B8" s="49" t="n"/>
      <c r="C8" s="50" t="n"/>
      <c r="D8" s="51" t="n"/>
      <c r="E8" s="51" t="n"/>
      <c r="F8" s="51">
        <f>IFERROR(E8-D8,"")</f>
        <v/>
      </c>
      <c r="G8" s="51" t="n"/>
      <c r="H8" s="51" t="n"/>
      <c r="I8" s="51">
        <f>IFERROR(G8+H8,"")</f>
        <v/>
      </c>
      <c r="J8" s="51" t="n"/>
      <c r="K8" s="51" t="n"/>
      <c r="L8" s="51">
        <f>IFERROR(I8+J8+K8,"")</f>
        <v/>
      </c>
      <c r="M8" s="51" t="n"/>
      <c r="N8" s="51" t="n"/>
      <c r="O8" s="52" t="n"/>
      <c r="P8" s="51" t="n"/>
      <c r="Q8" s="51" t="n"/>
      <c r="R8" s="51" t="n"/>
      <c r="S8" s="51" t="n"/>
      <c r="T8" s="51">
        <f>IFERROR(K8,"")</f>
        <v/>
      </c>
      <c r="U8" s="51">
        <f>IFERROR(E8+J8+K8-M8-N8-P8-Q8-R8,"")</f>
        <v/>
      </c>
      <c r="V8" s="51">
        <f>IFERROR(S8-U8,"")</f>
        <v/>
      </c>
      <c r="W8" s="51" t="n"/>
      <c r="X8" s="53">
        <f>IFERROR(L8/W8,"")</f>
        <v/>
      </c>
    </row>
    <row r="9" ht="15" customHeight="1" s="44">
      <c r="A9" s="54" t="n"/>
      <c r="B9" s="55" t="n"/>
      <c r="C9" s="56" t="n"/>
      <c r="D9" s="57" t="n"/>
      <c r="E9" s="57" t="n"/>
      <c r="F9" s="57">
        <f>IFERROR(E9-D9,"")</f>
        <v/>
      </c>
      <c r="G9" s="57" t="n"/>
      <c r="H9" s="57" t="n"/>
      <c r="I9" s="57">
        <f>IFERROR(G9+H9,"")</f>
        <v/>
      </c>
      <c r="J9" s="57" t="n"/>
      <c r="K9" s="57" t="n"/>
      <c r="L9" s="57">
        <f>IFERROR(I9+J9+K9,"")</f>
        <v/>
      </c>
      <c r="M9" s="57" t="n"/>
      <c r="N9" s="57" t="n"/>
      <c r="O9" s="58" t="n"/>
      <c r="P9" s="57" t="n"/>
      <c r="Q9" s="57" t="n"/>
      <c r="R9" s="57" t="n"/>
      <c r="S9" s="57" t="n"/>
      <c r="T9" s="57">
        <f>IFERROR(K9,"")</f>
        <v/>
      </c>
      <c r="U9" s="57">
        <f>IFERROR(E9+J9+K9-M9-N9-P9-Q9-R9,"")</f>
        <v/>
      </c>
      <c r="V9" s="57">
        <f>IFERROR(S9-U9,"")</f>
        <v/>
      </c>
      <c r="W9" s="57" t="n"/>
      <c r="X9" s="59">
        <f>IFERROR(L9/W9,"")</f>
        <v/>
      </c>
    </row>
    <row r="10" ht="15" customHeight="1" s="44">
      <c r="A10" s="48" t="n"/>
      <c r="B10" s="49" t="n"/>
      <c r="C10" s="50" t="n"/>
      <c r="D10" s="51" t="n"/>
      <c r="E10" s="51" t="n"/>
      <c r="F10" s="51">
        <f>IFERROR(E10-D10,"")</f>
        <v/>
      </c>
      <c r="G10" s="51" t="n"/>
      <c r="H10" s="51" t="n"/>
      <c r="I10" s="51">
        <f>IFERROR(G10+H10,"")</f>
        <v/>
      </c>
      <c r="J10" s="51" t="n"/>
      <c r="K10" s="51" t="n"/>
      <c r="L10" s="51">
        <f>IFERROR(I10+J10+K10,"")</f>
        <v/>
      </c>
      <c r="M10" s="51" t="n"/>
      <c r="N10" s="51" t="n"/>
      <c r="O10" s="52" t="n"/>
      <c r="P10" s="51" t="n"/>
      <c r="Q10" s="51" t="n"/>
      <c r="R10" s="51" t="n"/>
      <c r="S10" s="51" t="n"/>
      <c r="T10" s="51">
        <f>IFERROR(K10,"")</f>
        <v/>
      </c>
      <c r="U10" s="51">
        <f>IFERROR(E10+J10+K10-M10-N10-P10-Q10-R10,"")</f>
        <v/>
      </c>
      <c r="V10" s="51">
        <f>IFERROR(S10-U10,"")</f>
        <v/>
      </c>
      <c r="W10" s="51" t="n"/>
      <c r="X10" s="53">
        <f>IFERROR(L10/W10,"")</f>
        <v/>
      </c>
    </row>
    <row r="11" ht="15" customHeight="1" s="44">
      <c r="A11" s="54" t="n"/>
      <c r="B11" s="55" t="n"/>
      <c r="C11" s="56" t="n"/>
      <c r="D11" s="57" t="n"/>
      <c r="E11" s="57" t="n"/>
      <c r="F11" s="57">
        <f>IFERROR(E11-D11,"")</f>
        <v/>
      </c>
      <c r="G11" s="57" t="n"/>
      <c r="H11" s="57" t="n"/>
      <c r="I11" s="57">
        <f>IFERROR(G11+H11,"")</f>
        <v/>
      </c>
      <c r="J11" s="57" t="n"/>
      <c r="K11" s="57" t="n"/>
      <c r="L11" s="57">
        <f>IFERROR(I11+J11+K11,"")</f>
        <v/>
      </c>
      <c r="M11" s="57" t="n"/>
      <c r="N11" s="57" t="n"/>
      <c r="O11" s="58" t="n"/>
      <c r="P11" s="57" t="n"/>
      <c r="Q11" s="57" t="n"/>
      <c r="R11" s="57" t="n"/>
      <c r="S11" s="57" t="n"/>
      <c r="T11" s="57">
        <f>IFERROR(K11,"")</f>
        <v/>
      </c>
      <c r="U11" s="57">
        <f>IFERROR(E11+J11+K11-M11-N11-P11-Q11-R11,"")</f>
        <v/>
      </c>
      <c r="V11" s="57">
        <f>IFERROR(S11-U11,"")</f>
        <v/>
      </c>
      <c r="W11" s="57" t="n"/>
      <c r="X11" s="59">
        <f>IFERROR(L11/W11,"")</f>
        <v/>
      </c>
    </row>
    <row r="12" ht="15" customHeight="1" s="44">
      <c r="A12" s="48" t="n"/>
      <c r="B12" s="49" t="n"/>
      <c r="C12" s="50" t="n"/>
      <c r="D12" s="51" t="n"/>
      <c r="E12" s="51" t="n"/>
      <c r="F12" s="51">
        <f>IFERROR(E12-D12,"")</f>
        <v/>
      </c>
      <c r="G12" s="51" t="n"/>
      <c r="H12" s="51" t="n"/>
      <c r="I12" s="51">
        <f>IFERROR(G12+H12,"")</f>
        <v/>
      </c>
      <c r="J12" s="51" t="n"/>
      <c r="K12" s="51" t="n"/>
      <c r="L12" s="51">
        <f>IFERROR(I12+J12+K12,"")</f>
        <v/>
      </c>
      <c r="M12" s="51" t="n"/>
      <c r="N12" s="51" t="n"/>
      <c r="O12" s="52" t="n"/>
      <c r="P12" s="51" t="n"/>
      <c r="Q12" s="51" t="n"/>
      <c r="R12" s="51" t="n"/>
      <c r="S12" s="51" t="n"/>
      <c r="T12" s="51">
        <f>IFERROR(K12,"")</f>
        <v/>
      </c>
      <c r="U12" s="51">
        <f>IFERROR(E12+J12+K12-M12-N12-P12-Q12-R12,"")</f>
        <v/>
      </c>
      <c r="V12" s="51">
        <f>IFERROR(S12-U12,"")</f>
        <v/>
      </c>
      <c r="W12" s="51" t="n"/>
      <c r="X12" s="53">
        <f>IFERROR(L12/W12,"")</f>
        <v/>
      </c>
    </row>
    <row r="13" ht="15" customHeight="1" s="44">
      <c r="A13" s="54" t="n"/>
      <c r="B13" s="55" t="n"/>
      <c r="C13" s="56" t="n"/>
      <c r="D13" s="57" t="n"/>
      <c r="E13" s="57" t="n"/>
      <c r="F13" s="57">
        <f>IFERROR(E13-D13,"")</f>
        <v/>
      </c>
      <c r="G13" s="57" t="n"/>
      <c r="H13" s="57" t="n"/>
      <c r="I13" s="57">
        <f>IFERROR(G13+H13,"")</f>
        <v/>
      </c>
      <c r="J13" s="57" t="n"/>
      <c r="K13" s="57" t="n"/>
      <c r="L13" s="57">
        <f>IFERROR(I13+J13+K13,"")</f>
        <v/>
      </c>
      <c r="M13" s="57" t="n"/>
      <c r="N13" s="57" t="n"/>
      <c r="O13" s="58" t="n"/>
      <c r="P13" s="57" t="n"/>
      <c r="Q13" s="57" t="n"/>
      <c r="R13" s="57" t="n"/>
      <c r="S13" s="57" t="n"/>
      <c r="T13" s="57">
        <f>IFERROR(K13,"")</f>
        <v/>
      </c>
      <c r="U13" s="57">
        <f>IFERROR(E13+J13+K13-M13-N13-P13-Q13-R13,"")</f>
        <v/>
      </c>
      <c r="V13" s="57">
        <f>IFERROR(S13-U13,"")</f>
        <v/>
      </c>
      <c r="W13" s="57" t="n"/>
      <c r="X13" s="59">
        <f>IFERROR(L13/W13,"")</f>
        <v/>
      </c>
    </row>
    <row r="14" ht="15" customHeight="1" s="44">
      <c r="A14" s="48" t="n"/>
      <c r="B14" s="49" t="n"/>
      <c r="C14" s="50" t="n"/>
      <c r="D14" s="51" t="n"/>
      <c r="E14" s="51" t="n"/>
      <c r="F14" s="51">
        <f>IFERROR(E14-D14,"")</f>
        <v/>
      </c>
      <c r="G14" s="51" t="n"/>
      <c r="H14" s="51" t="n"/>
      <c r="I14" s="51">
        <f>IFERROR(G14+H14,"")</f>
        <v/>
      </c>
      <c r="J14" s="51" t="n"/>
      <c r="K14" s="51" t="n"/>
      <c r="L14" s="51">
        <f>IFERROR(I14+J14+K14,"")</f>
        <v/>
      </c>
      <c r="M14" s="51" t="n"/>
      <c r="N14" s="51" t="n"/>
      <c r="O14" s="52" t="n"/>
      <c r="P14" s="51" t="n"/>
      <c r="Q14" s="51" t="n"/>
      <c r="R14" s="51" t="n"/>
      <c r="S14" s="51" t="n"/>
      <c r="T14" s="51">
        <f>IFERROR(K14,"")</f>
        <v/>
      </c>
      <c r="U14" s="51">
        <f>IFERROR(E14+J14+K14-M14-N14-P14-Q14-R14,"")</f>
        <v/>
      </c>
      <c r="V14" s="51">
        <f>IFERROR(S14-U14,"")</f>
        <v/>
      </c>
      <c r="W14" s="51" t="n"/>
      <c r="X14" s="53">
        <f>IFERROR(L14/W14,"")</f>
        <v/>
      </c>
    </row>
    <row r="15" ht="15" customHeight="1" s="44">
      <c r="A15" s="54" t="n"/>
      <c r="B15" s="55" t="n"/>
      <c r="C15" s="56" t="n"/>
      <c r="D15" s="57" t="n"/>
      <c r="E15" s="57" t="n"/>
      <c r="F15" s="57">
        <f>IFERROR(E15-D15,"")</f>
        <v/>
      </c>
      <c r="G15" s="57" t="n"/>
      <c r="H15" s="57" t="n"/>
      <c r="I15" s="57">
        <f>IFERROR(G15+H15,"")</f>
        <v/>
      </c>
      <c r="J15" s="57" t="n"/>
      <c r="K15" s="57" t="n"/>
      <c r="L15" s="57">
        <f>IFERROR(I15+J15+K15,"")</f>
        <v/>
      </c>
      <c r="M15" s="57" t="n"/>
      <c r="N15" s="57" t="n"/>
      <c r="O15" s="58" t="n"/>
      <c r="P15" s="57" t="n"/>
      <c r="Q15" s="57" t="n"/>
      <c r="R15" s="57" t="n"/>
      <c r="S15" s="57" t="n"/>
      <c r="T15" s="57">
        <f>IFERROR(K15,"")</f>
        <v/>
      </c>
      <c r="U15" s="57">
        <f>IFERROR(E15+J15+K15-M15-N15-P15-Q15-R15,"")</f>
        <v/>
      </c>
      <c r="V15" s="57">
        <f>IFERROR(S15-U15,"")</f>
        <v/>
      </c>
      <c r="W15" s="57" t="n"/>
      <c r="X15" s="59">
        <f>IFERROR(L15/W15,"")</f>
        <v/>
      </c>
    </row>
    <row r="16" ht="15" customHeight="1" s="44">
      <c r="A16" s="48" t="n"/>
      <c r="B16" s="49" t="n"/>
      <c r="C16" s="50" t="n"/>
      <c r="D16" s="51" t="n"/>
      <c r="E16" s="51" t="n"/>
      <c r="F16" s="51">
        <f>IFERROR(E16-D16,"")</f>
        <v/>
      </c>
      <c r="G16" s="51" t="n"/>
      <c r="H16" s="51" t="n"/>
      <c r="I16" s="51">
        <f>IFERROR(G16+H16,"")</f>
        <v/>
      </c>
      <c r="J16" s="51" t="n"/>
      <c r="K16" s="51" t="n"/>
      <c r="L16" s="51">
        <f>IFERROR(I16+J16+K16,"")</f>
        <v/>
      </c>
      <c r="M16" s="51" t="n"/>
      <c r="N16" s="51" t="n"/>
      <c r="O16" s="52" t="n"/>
      <c r="P16" s="51" t="n"/>
      <c r="Q16" s="51" t="n"/>
      <c r="R16" s="51" t="n"/>
      <c r="S16" s="51" t="n"/>
      <c r="T16" s="51">
        <f>IFERROR(K16,"")</f>
        <v/>
      </c>
      <c r="U16" s="51">
        <f>IFERROR(E16+J16+K16-M16-N16-P16-Q16-R16,"")</f>
        <v/>
      </c>
      <c r="V16" s="51">
        <f>IFERROR(S16-U16,"")</f>
        <v/>
      </c>
      <c r="W16" s="51" t="n"/>
      <c r="X16" s="53">
        <f>IFERROR(L16/W16,"")</f>
        <v/>
      </c>
    </row>
    <row r="17" ht="15" customHeight="1" s="44">
      <c r="A17" s="54" t="n"/>
      <c r="B17" s="55" t="n"/>
      <c r="C17" s="56" t="n"/>
      <c r="D17" s="57" t="n"/>
      <c r="E17" s="57" t="n"/>
      <c r="F17" s="57">
        <f>IFERROR(E17-D17,"")</f>
        <v/>
      </c>
      <c r="G17" s="57" t="n"/>
      <c r="H17" s="57" t="n"/>
      <c r="I17" s="57">
        <f>IFERROR(G17+H17,"")</f>
        <v/>
      </c>
      <c r="J17" s="57" t="n"/>
      <c r="K17" s="57" t="n"/>
      <c r="L17" s="57">
        <f>IFERROR(I17+J17+K17,"")</f>
        <v/>
      </c>
      <c r="M17" s="57" t="n"/>
      <c r="N17" s="57" t="n"/>
      <c r="O17" s="58" t="n"/>
      <c r="P17" s="57" t="n"/>
      <c r="Q17" s="57" t="n"/>
      <c r="R17" s="57" t="n"/>
      <c r="S17" s="57" t="n"/>
      <c r="T17" s="57">
        <f>IFERROR(K17,"")</f>
        <v/>
      </c>
      <c r="U17" s="57">
        <f>IFERROR(E17+J17+K17-M17-N17-P17-Q17-R17,"")</f>
        <v/>
      </c>
      <c r="V17" s="57">
        <f>IFERROR(S17-U17,"")</f>
        <v/>
      </c>
      <c r="W17" s="57" t="n"/>
      <c r="X17" s="59">
        <f>IFERROR(L17/W17,"")</f>
        <v/>
      </c>
    </row>
    <row r="18" ht="15" customHeight="1" s="44">
      <c r="A18" s="48" t="n"/>
      <c r="B18" s="49" t="n"/>
      <c r="C18" s="50" t="n"/>
      <c r="D18" s="51" t="n"/>
      <c r="E18" s="51" t="n"/>
      <c r="F18" s="51">
        <f>IFERROR(E18-D18,"")</f>
        <v/>
      </c>
      <c r="G18" s="51" t="n"/>
      <c r="H18" s="51" t="n"/>
      <c r="I18" s="51">
        <f>IFERROR(G18+H18,"")</f>
        <v/>
      </c>
      <c r="J18" s="51" t="n"/>
      <c r="K18" s="51" t="n"/>
      <c r="L18" s="51">
        <f>IFERROR(I18+J18+K18,"")</f>
        <v/>
      </c>
      <c r="M18" s="51" t="n"/>
      <c r="N18" s="51" t="n"/>
      <c r="O18" s="52" t="n"/>
      <c r="P18" s="51" t="n"/>
      <c r="Q18" s="51" t="n"/>
      <c r="R18" s="51" t="n"/>
      <c r="S18" s="51" t="n"/>
      <c r="T18" s="51">
        <f>IFERROR(K18,"")</f>
        <v/>
      </c>
      <c r="U18" s="51">
        <f>IFERROR(E18+J18+K18-M18-N18-P18-Q18-R18,"")</f>
        <v/>
      </c>
      <c r="V18" s="51">
        <f>IFERROR(S18-U18,"")</f>
        <v/>
      </c>
      <c r="W18" s="51" t="n"/>
      <c r="X18" s="53">
        <f>IFERROR(L18/W18,"")</f>
        <v/>
      </c>
    </row>
    <row r="19" ht="15" customHeight="1" s="44">
      <c r="A19" s="54" t="n"/>
      <c r="B19" s="55" t="n"/>
      <c r="C19" s="56" t="n"/>
      <c r="D19" s="57" t="n"/>
      <c r="E19" s="57" t="n"/>
      <c r="F19" s="57">
        <f>IFERROR(E19-D19,"")</f>
        <v/>
      </c>
      <c r="G19" s="57" t="n"/>
      <c r="H19" s="57" t="n"/>
      <c r="I19" s="57">
        <f>IFERROR(G19+H19,"")</f>
        <v/>
      </c>
      <c r="J19" s="57" t="n"/>
      <c r="K19" s="57" t="n"/>
      <c r="L19" s="57">
        <f>IFERROR(I19+J19+K19,"")</f>
        <v/>
      </c>
      <c r="M19" s="57" t="n"/>
      <c r="N19" s="57" t="n"/>
      <c r="O19" s="58" t="n"/>
      <c r="P19" s="57" t="n"/>
      <c r="Q19" s="57" t="n"/>
      <c r="R19" s="57" t="n"/>
      <c r="S19" s="57" t="n"/>
      <c r="T19" s="57">
        <f>IFERROR(K19,"")</f>
        <v/>
      </c>
      <c r="U19" s="57">
        <f>IFERROR(E19+J19+K19-M19-N19-P19-Q19-R19,"")</f>
        <v/>
      </c>
      <c r="V19" s="57">
        <f>IFERROR(S19-U19,"")</f>
        <v/>
      </c>
      <c r="W19" s="57" t="n"/>
      <c r="X19" s="59">
        <f>IFERROR(L19/W19,"")</f>
        <v/>
      </c>
    </row>
    <row r="20" ht="15" customHeight="1" s="44">
      <c r="A20" s="48" t="n"/>
      <c r="B20" s="49" t="n"/>
      <c r="C20" s="50" t="n"/>
      <c r="D20" s="51" t="n"/>
      <c r="E20" s="51" t="n"/>
      <c r="F20" s="51">
        <f>IFERROR(E20-D20,"")</f>
        <v/>
      </c>
      <c r="G20" s="51" t="n"/>
      <c r="H20" s="51" t="n"/>
      <c r="I20" s="51">
        <f>IFERROR(G20+H20,"")</f>
        <v/>
      </c>
      <c r="J20" s="51" t="n"/>
      <c r="K20" s="51" t="n"/>
      <c r="L20" s="51">
        <f>IFERROR(I20+J20+K20,"")</f>
        <v/>
      </c>
      <c r="M20" s="51" t="n"/>
      <c r="N20" s="51" t="n"/>
      <c r="O20" s="52" t="n"/>
      <c r="P20" s="51" t="n"/>
      <c r="Q20" s="51" t="n"/>
      <c r="R20" s="51" t="n"/>
      <c r="S20" s="51" t="n"/>
      <c r="T20" s="51">
        <f>IFERROR(K20,"")</f>
        <v/>
      </c>
      <c r="U20" s="51">
        <f>IFERROR(E20+J20+K20-M20-N20-P20-Q20-R20,"")</f>
        <v/>
      </c>
      <c r="V20" s="51">
        <f>IFERROR(S20-U20,"")</f>
        <v/>
      </c>
      <c r="W20" s="51" t="n"/>
      <c r="X20" s="53">
        <f>IFERROR(L20/W20,"")</f>
        <v/>
      </c>
    </row>
    <row r="21" ht="15" customHeight="1" s="44">
      <c r="A21" s="54" t="n"/>
      <c r="B21" s="55" t="n"/>
      <c r="C21" s="56" t="n"/>
      <c r="D21" s="57" t="n"/>
      <c r="E21" s="57" t="n"/>
      <c r="F21" s="57">
        <f>IFERROR(E21-D21,"")</f>
        <v/>
      </c>
      <c r="G21" s="57" t="n"/>
      <c r="H21" s="57" t="n"/>
      <c r="I21" s="57">
        <f>IFERROR(G21+H21,"")</f>
        <v/>
      </c>
      <c r="J21" s="57" t="n"/>
      <c r="K21" s="57" t="n"/>
      <c r="L21" s="57">
        <f>IFERROR(I21+J21+K21,"")</f>
        <v/>
      </c>
      <c r="M21" s="57" t="n"/>
      <c r="N21" s="57" t="n"/>
      <c r="O21" s="58" t="n"/>
      <c r="P21" s="57" t="n"/>
      <c r="Q21" s="57" t="n"/>
      <c r="R21" s="57" t="n"/>
      <c r="S21" s="57" t="n"/>
      <c r="T21" s="57">
        <f>IFERROR(K21,"")</f>
        <v/>
      </c>
      <c r="U21" s="57">
        <f>IFERROR(E21+J21+K21-M21-N21-P21-Q21-R21,"")</f>
        <v/>
      </c>
      <c r="V21" s="57">
        <f>IFERROR(S21-U21,"")</f>
        <v/>
      </c>
      <c r="W21" s="57" t="n"/>
      <c r="X21" s="59">
        <f>IFERROR(L21/W21,"")</f>
        <v/>
      </c>
    </row>
    <row r="22" ht="15" customHeight="1" s="44">
      <c r="A22" s="48" t="n"/>
      <c r="B22" s="49" t="n"/>
      <c r="C22" s="50" t="n"/>
      <c r="D22" s="51" t="n"/>
      <c r="E22" s="51" t="n"/>
      <c r="F22" s="51">
        <f>IFERROR(E22-D22,"")</f>
        <v/>
      </c>
      <c r="G22" s="51" t="n"/>
      <c r="H22" s="51" t="n"/>
      <c r="I22" s="51">
        <f>IFERROR(G22+H22,"")</f>
        <v/>
      </c>
      <c r="J22" s="51" t="n"/>
      <c r="K22" s="51" t="n"/>
      <c r="L22" s="51">
        <f>IFERROR(I22+J22+K22,"")</f>
        <v/>
      </c>
      <c r="M22" s="51" t="n"/>
      <c r="N22" s="51" t="n"/>
      <c r="O22" s="52" t="n"/>
      <c r="P22" s="51" t="n"/>
      <c r="Q22" s="51" t="n"/>
      <c r="R22" s="51" t="n"/>
      <c r="S22" s="51" t="n"/>
      <c r="T22" s="51">
        <f>IFERROR(K22,"")</f>
        <v/>
      </c>
      <c r="U22" s="51">
        <f>IFERROR(E22+J22+K22-M22-N22-P22-Q22-R22,"")</f>
        <v/>
      </c>
      <c r="V22" s="51">
        <f>IFERROR(S22-U22,"")</f>
        <v/>
      </c>
      <c r="W22" s="51" t="n"/>
      <c r="X22" s="53">
        <f>IFERROR(L22/W22,"")</f>
        <v/>
      </c>
    </row>
    <row r="23" ht="15" customHeight="1" s="44">
      <c r="A23" s="54" t="n"/>
      <c r="B23" s="55" t="n"/>
      <c r="C23" s="56" t="n"/>
      <c r="D23" s="57" t="n"/>
      <c r="E23" s="57" t="n"/>
      <c r="F23" s="57">
        <f>IFERROR(E23-D23,"")</f>
        <v/>
      </c>
      <c r="G23" s="57" t="n"/>
      <c r="H23" s="57" t="n"/>
      <c r="I23" s="57">
        <f>IFERROR(G23+H23,"")</f>
        <v/>
      </c>
      <c r="J23" s="57" t="n"/>
      <c r="K23" s="57" t="n"/>
      <c r="L23" s="57">
        <f>IFERROR(I23+J23+K23,"")</f>
        <v/>
      </c>
      <c r="M23" s="57" t="n"/>
      <c r="N23" s="57" t="n"/>
      <c r="O23" s="58" t="n"/>
      <c r="P23" s="57" t="n"/>
      <c r="Q23" s="57" t="n"/>
      <c r="R23" s="57" t="n"/>
      <c r="S23" s="57" t="n"/>
      <c r="T23" s="57">
        <f>IFERROR(K23,"")</f>
        <v/>
      </c>
      <c r="U23" s="57">
        <f>IFERROR(E23+J23+K23-M23-N23-P23-Q23-R23,"")</f>
        <v/>
      </c>
      <c r="V23" s="57">
        <f>IFERROR(S23-U23,"")</f>
        <v/>
      </c>
      <c r="W23" s="57" t="n"/>
      <c r="X23" s="59">
        <f>IFERROR(L23/W23,"")</f>
        <v/>
      </c>
    </row>
    <row r="24" ht="15" customHeight="1" s="44">
      <c r="A24" s="48" t="n"/>
      <c r="B24" s="49" t="n"/>
      <c r="C24" s="50" t="n"/>
      <c r="D24" s="51" t="n"/>
      <c r="E24" s="51" t="n"/>
      <c r="F24" s="51">
        <f>IFERROR(E24-D24,"")</f>
        <v/>
      </c>
      <c r="G24" s="51" t="n"/>
      <c r="H24" s="51" t="n"/>
      <c r="I24" s="51">
        <f>IFERROR(G24+H24,"")</f>
        <v/>
      </c>
      <c r="J24" s="51" t="n"/>
      <c r="K24" s="51" t="n"/>
      <c r="L24" s="51">
        <f>IFERROR(I24+J24+K24,"")</f>
        <v/>
      </c>
      <c r="M24" s="51" t="n"/>
      <c r="N24" s="51" t="n"/>
      <c r="O24" s="52" t="n"/>
      <c r="P24" s="51" t="n"/>
      <c r="Q24" s="51" t="n"/>
      <c r="R24" s="51" t="n"/>
      <c r="S24" s="51" t="n"/>
      <c r="T24" s="51">
        <f>IFERROR(K24,"")</f>
        <v/>
      </c>
      <c r="U24" s="51">
        <f>IFERROR(E24+J24+K24-M24-N24-P24-Q24-R24,"")</f>
        <v/>
      </c>
      <c r="V24" s="51">
        <f>IFERROR(S24-U24,"")</f>
        <v/>
      </c>
      <c r="W24" s="51" t="n"/>
      <c r="X24" s="53">
        <f>IFERROR(L24/W24,"")</f>
        <v/>
      </c>
    </row>
    <row r="25" ht="15" customHeight="1" s="44">
      <c r="A25" s="54" t="n"/>
      <c r="B25" s="55" t="n"/>
      <c r="C25" s="56" t="n"/>
      <c r="D25" s="57" t="n"/>
      <c r="E25" s="57" t="n"/>
      <c r="F25" s="57">
        <f>IFERROR(E25-D25,"")</f>
        <v/>
      </c>
      <c r="G25" s="57" t="n"/>
      <c r="H25" s="57" t="n"/>
      <c r="I25" s="57">
        <f>IFERROR(G25+H25,"")</f>
        <v/>
      </c>
      <c r="J25" s="57" t="n"/>
      <c r="K25" s="57" t="n"/>
      <c r="L25" s="57">
        <f>IFERROR(I25+J25+K25,"")</f>
        <v/>
      </c>
      <c r="M25" s="57" t="n"/>
      <c r="N25" s="57" t="n"/>
      <c r="O25" s="58" t="n"/>
      <c r="P25" s="57" t="n"/>
      <c r="Q25" s="57" t="n"/>
      <c r="R25" s="57" t="n"/>
      <c r="S25" s="57" t="n"/>
      <c r="T25" s="57">
        <f>IFERROR(K25,"")</f>
        <v/>
      </c>
      <c r="U25" s="57">
        <f>IFERROR(E25+J25+K25-M25-N25-P25-Q25-R25,"")</f>
        <v/>
      </c>
      <c r="V25" s="57">
        <f>IFERROR(S25-U25,"")</f>
        <v/>
      </c>
      <c r="W25" s="57" t="n"/>
      <c r="X25" s="59">
        <f>IFERROR(L25/W25,"")</f>
        <v/>
      </c>
    </row>
    <row r="26" ht="15" customHeight="1" s="44">
      <c r="A26" s="48" t="n"/>
      <c r="B26" s="49" t="n"/>
      <c r="C26" s="50" t="n"/>
      <c r="D26" s="51" t="n"/>
      <c r="E26" s="51" t="n"/>
      <c r="F26" s="51">
        <f>IFERROR(E26-D26,"")</f>
        <v/>
      </c>
      <c r="G26" s="51" t="n"/>
      <c r="H26" s="51" t="n"/>
      <c r="I26" s="51">
        <f>IFERROR(G26+H26,"")</f>
        <v/>
      </c>
      <c r="J26" s="51" t="n"/>
      <c r="K26" s="51" t="n"/>
      <c r="L26" s="51">
        <f>IFERROR(I26+J26+K26,"")</f>
        <v/>
      </c>
      <c r="M26" s="51" t="n"/>
      <c r="N26" s="51" t="n"/>
      <c r="O26" s="52" t="n"/>
      <c r="P26" s="51" t="n"/>
      <c r="Q26" s="51" t="n"/>
      <c r="R26" s="51" t="n"/>
      <c r="S26" s="51" t="n"/>
      <c r="T26" s="51">
        <f>IFERROR(K26,"")</f>
        <v/>
      </c>
      <c r="U26" s="51">
        <f>IFERROR(E26+J26+K26-M26-N26-P26-Q26-R26,"")</f>
        <v/>
      </c>
      <c r="V26" s="51">
        <f>IFERROR(S26-U26,"")</f>
        <v/>
      </c>
      <c r="W26" s="51" t="n"/>
      <c r="X26" s="53">
        <f>IFERROR(L26/W26,"")</f>
        <v/>
      </c>
    </row>
    <row r="27" ht="15" customHeight="1" s="44">
      <c r="A27" s="54" t="n"/>
      <c r="B27" s="55" t="n"/>
      <c r="C27" s="56" t="n"/>
      <c r="D27" s="57" t="n"/>
      <c r="E27" s="57" t="n"/>
      <c r="F27" s="57">
        <f>IFERROR(E27-D27,"")</f>
        <v/>
      </c>
      <c r="G27" s="57" t="n"/>
      <c r="H27" s="57" t="n"/>
      <c r="I27" s="57">
        <f>IFERROR(G27+H27,"")</f>
        <v/>
      </c>
      <c r="J27" s="57" t="n"/>
      <c r="K27" s="57" t="n"/>
      <c r="L27" s="57">
        <f>IFERROR(I27+J27+K27,"")</f>
        <v/>
      </c>
      <c r="M27" s="57" t="n"/>
      <c r="N27" s="57" t="n"/>
      <c r="O27" s="58" t="n"/>
      <c r="P27" s="57" t="n"/>
      <c r="Q27" s="57" t="n"/>
      <c r="R27" s="57" t="n"/>
      <c r="S27" s="57" t="n"/>
      <c r="T27" s="57">
        <f>IFERROR(K27,"")</f>
        <v/>
      </c>
      <c r="U27" s="57">
        <f>IFERROR(E27+J27+K27-M27-N27-P27-Q27-R27,"")</f>
        <v/>
      </c>
      <c r="V27" s="57">
        <f>IFERROR(S27-U27,"")</f>
        <v/>
      </c>
      <c r="W27" s="57" t="n"/>
      <c r="X27" s="59">
        <f>IFERROR(L27/W27,"")</f>
        <v/>
      </c>
    </row>
    <row r="28" ht="15" customHeight="1" s="44">
      <c r="A28" s="48" t="n"/>
      <c r="B28" s="49" t="n"/>
      <c r="C28" s="50" t="n"/>
      <c r="D28" s="51" t="n"/>
      <c r="E28" s="51" t="n"/>
      <c r="F28" s="51">
        <f>IFERROR(E28-D28,"")</f>
        <v/>
      </c>
      <c r="G28" s="51" t="n"/>
      <c r="H28" s="51" t="n"/>
      <c r="I28" s="51">
        <f>IFERROR(G28+H28,"")</f>
        <v/>
      </c>
      <c r="J28" s="51" t="n"/>
      <c r="K28" s="51" t="n"/>
      <c r="L28" s="51">
        <f>IFERROR(I28+J28+K28,"")</f>
        <v/>
      </c>
      <c r="M28" s="51" t="n"/>
      <c r="N28" s="51" t="n"/>
      <c r="O28" s="52" t="n"/>
      <c r="P28" s="51" t="n"/>
      <c r="Q28" s="51" t="n"/>
      <c r="R28" s="51" t="n"/>
      <c r="S28" s="51" t="n"/>
      <c r="T28" s="51">
        <f>IFERROR(K28,"")</f>
        <v/>
      </c>
      <c r="U28" s="51">
        <f>IFERROR(E28+J28+K28-M28-N28-P28-Q28-R28,"")</f>
        <v/>
      </c>
      <c r="V28" s="51">
        <f>IFERROR(S28-U28,"")</f>
        <v/>
      </c>
      <c r="W28" s="51" t="n"/>
      <c r="X28" s="53">
        <f>IFERROR(L28/W28,"")</f>
        <v/>
      </c>
    </row>
    <row r="29" ht="15" customHeight="1" s="44">
      <c r="A29" s="54" t="n"/>
      <c r="B29" s="55" t="n"/>
      <c r="C29" s="56" t="n"/>
      <c r="D29" s="57" t="n"/>
      <c r="E29" s="57" t="n"/>
      <c r="F29" s="57">
        <f>IFERROR(E29-D29,"")</f>
        <v/>
      </c>
      <c r="G29" s="57" t="n"/>
      <c r="H29" s="57" t="n"/>
      <c r="I29" s="57">
        <f>IFERROR(G29+H29,"")</f>
        <v/>
      </c>
      <c r="J29" s="57" t="n"/>
      <c r="K29" s="57" t="n"/>
      <c r="L29" s="57">
        <f>IFERROR(I29+J29+K29,"")</f>
        <v/>
      </c>
      <c r="M29" s="57" t="n"/>
      <c r="N29" s="57" t="n"/>
      <c r="O29" s="58" t="n"/>
      <c r="P29" s="57" t="n"/>
      <c r="Q29" s="57" t="n"/>
      <c r="R29" s="57" t="n"/>
      <c r="S29" s="57" t="n"/>
      <c r="T29" s="57">
        <f>IFERROR(K29,"")</f>
        <v/>
      </c>
      <c r="U29" s="57">
        <f>IFERROR(E29+J29+K29-M29-N29-P29-Q29-R29,"")</f>
        <v/>
      </c>
      <c r="V29" s="57">
        <f>IFERROR(S29-U29,"")</f>
        <v/>
      </c>
      <c r="W29" s="57" t="n"/>
      <c r="X29" s="59">
        <f>IFERROR(L29/W29,"")</f>
        <v/>
      </c>
    </row>
    <row r="30" ht="15" customHeight="1" s="44">
      <c r="A30" s="48" t="n"/>
      <c r="B30" s="49" t="n"/>
      <c r="C30" s="50" t="n"/>
      <c r="D30" s="51" t="n"/>
      <c r="E30" s="51" t="n"/>
      <c r="F30" s="51">
        <f>IFERROR(E30-D30,"")</f>
        <v/>
      </c>
      <c r="G30" s="51" t="n"/>
      <c r="H30" s="51" t="n"/>
      <c r="I30" s="51">
        <f>IFERROR(G30+H30,"")</f>
        <v/>
      </c>
      <c r="J30" s="51" t="n"/>
      <c r="K30" s="51" t="n"/>
      <c r="L30" s="51">
        <f>IFERROR(I30+J30+K30,"")</f>
        <v/>
      </c>
      <c r="M30" s="51" t="n"/>
      <c r="N30" s="51" t="n"/>
      <c r="O30" s="52" t="n"/>
      <c r="P30" s="51" t="n"/>
      <c r="Q30" s="51" t="n"/>
      <c r="R30" s="51" t="n"/>
      <c r="S30" s="51" t="n"/>
      <c r="T30" s="51">
        <f>IFERROR(K30,"")</f>
        <v/>
      </c>
      <c r="U30" s="51">
        <f>IFERROR(E30+J30+K30-M30-N30-P30-Q30-R30,"")</f>
        <v/>
      </c>
      <c r="V30" s="51">
        <f>IFERROR(S30-U30,"")</f>
        <v/>
      </c>
      <c r="W30" s="51" t="n"/>
      <c r="X30" s="53">
        <f>IFERROR(L30/W30,"")</f>
        <v/>
      </c>
    </row>
    <row r="31" ht="15" customHeight="1" s="44">
      <c r="A31" s="54" t="n"/>
      <c r="B31" s="55" t="n"/>
      <c r="C31" s="56" t="n"/>
      <c r="D31" s="57" t="n"/>
      <c r="E31" s="57" t="n"/>
      <c r="F31" s="57">
        <f>IFERROR(E31-D31,"")</f>
        <v/>
      </c>
      <c r="G31" s="57" t="n"/>
      <c r="H31" s="57" t="n"/>
      <c r="I31" s="57">
        <f>IFERROR(G31+H31,"")</f>
        <v/>
      </c>
      <c r="J31" s="57" t="n"/>
      <c r="K31" s="57" t="n"/>
      <c r="L31" s="57">
        <f>IFERROR(I31+J31+K31,"")</f>
        <v/>
      </c>
      <c r="M31" s="57" t="n"/>
      <c r="N31" s="57" t="n"/>
      <c r="O31" s="58" t="n"/>
      <c r="P31" s="57" t="n"/>
      <c r="Q31" s="57" t="n"/>
      <c r="R31" s="57" t="n"/>
      <c r="S31" s="57" t="n"/>
      <c r="T31" s="57">
        <f>IFERROR(K31,"")</f>
        <v/>
      </c>
      <c r="U31" s="57">
        <f>IFERROR(E31+J31+K31-M31-N31-P31-Q31-R31,"")</f>
        <v/>
      </c>
      <c r="V31" s="57">
        <f>IFERROR(S31-U31,"")</f>
        <v/>
      </c>
      <c r="W31" s="57" t="n"/>
      <c r="X31" s="59">
        <f>IFERROR(L31/W31,"")</f>
        <v/>
      </c>
    </row>
    <row r="32" ht="15" customHeight="1" s="44">
      <c r="A32" s="48" t="n"/>
      <c r="B32" s="49" t="n"/>
      <c r="C32" s="50" t="n"/>
      <c r="D32" s="51" t="n"/>
      <c r="E32" s="51" t="n"/>
      <c r="F32" s="51">
        <f>IFERROR(E32-D32,"")</f>
        <v/>
      </c>
      <c r="G32" s="51" t="n"/>
      <c r="H32" s="51" t="n"/>
      <c r="I32" s="51">
        <f>IFERROR(G32+H32,"")</f>
        <v/>
      </c>
      <c r="J32" s="51" t="n"/>
      <c r="K32" s="51" t="n"/>
      <c r="L32" s="51">
        <f>IFERROR(I32+J32+K32,"")</f>
        <v/>
      </c>
      <c r="M32" s="51" t="n"/>
      <c r="N32" s="51" t="n"/>
      <c r="O32" s="52" t="n"/>
      <c r="P32" s="51" t="n"/>
      <c r="Q32" s="51" t="n"/>
      <c r="R32" s="51" t="n"/>
      <c r="S32" s="51" t="n"/>
      <c r="T32" s="51">
        <f>IFERROR(K32,"")</f>
        <v/>
      </c>
      <c r="U32" s="51">
        <f>IFERROR(E32+J32+K32-M32-N32-P32-Q32-R32,"")</f>
        <v/>
      </c>
      <c r="V32" s="51">
        <f>IFERROR(S32-U32,"")</f>
        <v/>
      </c>
      <c r="W32" s="51" t="n"/>
      <c r="X32" s="53">
        <f>IFERROR(L32/W32,"")</f>
        <v/>
      </c>
    </row>
    <row r="33" ht="15" customHeight="1" s="44">
      <c r="A33" s="54" t="n"/>
      <c r="B33" s="55" t="n"/>
      <c r="C33" s="56" t="n"/>
      <c r="D33" s="57" t="n"/>
      <c r="E33" s="57" t="n"/>
      <c r="F33" s="57">
        <f>IFERROR(E33-D33,"")</f>
        <v/>
      </c>
      <c r="G33" s="57" t="n"/>
      <c r="H33" s="57" t="n"/>
      <c r="I33" s="57">
        <f>IFERROR(G33+H33,"")</f>
        <v/>
      </c>
      <c r="J33" s="57" t="n"/>
      <c r="K33" s="57" t="n"/>
      <c r="L33" s="57">
        <f>IFERROR(I33+J33+K33,"")</f>
        <v/>
      </c>
      <c r="M33" s="57" t="n"/>
      <c r="N33" s="57" t="n"/>
      <c r="O33" s="58" t="n"/>
      <c r="P33" s="57" t="n"/>
      <c r="Q33" s="57" t="n"/>
      <c r="R33" s="57" t="n"/>
      <c r="S33" s="57" t="n"/>
      <c r="T33" s="57">
        <f>IFERROR(K33,"")</f>
        <v/>
      </c>
      <c r="U33" s="57">
        <f>IFERROR(E33+J33+K33-M33-N33-P33-Q33-R33,"")</f>
        <v/>
      </c>
      <c r="V33" s="57">
        <f>IFERROR(S33-U33,"")</f>
        <v/>
      </c>
      <c r="W33" s="57" t="n"/>
      <c r="X33" s="59">
        <f>IFERROR(L33/W33,"")</f>
        <v/>
      </c>
    </row>
    <row r="34" ht="15" customHeight="1" s="44">
      <c r="A34" s="48" t="n"/>
      <c r="B34" s="49" t="n"/>
      <c r="C34" s="50" t="n"/>
      <c r="D34" s="51" t="n"/>
      <c r="E34" s="51" t="n"/>
      <c r="F34" s="51">
        <f>IFERROR(E34-D34,"")</f>
        <v/>
      </c>
      <c r="G34" s="51" t="n"/>
      <c r="H34" s="51" t="n"/>
      <c r="I34" s="51">
        <f>IFERROR(G34+H34,"")</f>
        <v/>
      </c>
      <c r="J34" s="51" t="n"/>
      <c r="K34" s="51" t="n"/>
      <c r="L34" s="51">
        <f>IFERROR(I34+J34+K34,"")</f>
        <v/>
      </c>
      <c r="M34" s="51" t="n"/>
      <c r="N34" s="51" t="n"/>
      <c r="O34" s="52" t="n"/>
      <c r="P34" s="51" t="n"/>
      <c r="Q34" s="51" t="n"/>
      <c r="R34" s="51" t="n"/>
      <c r="S34" s="51" t="n"/>
      <c r="T34" s="51">
        <f>IFERROR(K34,"")</f>
        <v/>
      </c>
      <c r="U34" s="51">
        <f>IFERROR(E34+J34+K34-M34-N34-P34-Q34-R34,"")</f>
        <v/>
      </c>
      <c r="V34" s="51">
        <f>IFERROR(S34-U34,"")</f>
        <v/>
      </c>
      <c r="W34" s="51" t="n"/>
      <c r="X34" s="53">
        <f>IFERROR(L34/W34,"")</f>
        <v/>
      </c>
    </row>
    <row r="35" ht="15" customHeight="1" s="44">
      <c r="A35" s="54" t="n"/>
      <c r="B35" s="55" t="n"/>
      <c r="C35" s="56" t="n"/>
      <c r="D35" s="57" t="n"/>
      <c r="E35" s="57" t="n"/>
      <c r="F35" s="57">
        <f>IFERROR(E35-D35,"")</f>
        <v/>
      </c>
      <c r="G35" s="57" t="n"/>
      <c r="H35" s="57" t="n"/>
      <c r="I35" s="57">
        <f>IFERROR(G35+H35,"")</f>
        <v/>
      </c>
      <c r="J35" s="57" t="n"/>
      <c r="K35" s="57" t="n"/>
      <c r="L35" s="57">
        <f>IFERROR(I35+J35+K35,"")</f>
        <v/>
      </c>
      <c r="M35" s="57" t="n"/>
      <c r="N35" s="57" t="n"/>
      <c r="O35" s="58" t="n"/>
      <c r="P35" s="57" t="n"/>
      <c r="Q35" s="57" t="n"/>
      <c r="R35" s="57" t="n"/>
      <c r="S35" s="57" t="n"/>
      <c r="T35" s="57">
        <f>IFERROR(K35,"")</f>
        <v/>
      </c>
      <c r="U35" s="57">
        <f>IFERROR(E35+J35+K35-M35-N35-P35-Q35-R35,"")</f>
        <v/>
      </c>
      <c r="V35" s="57">
        <f>IFERROR(S35-U35,"")</f>
        <v/>
      </c>
      <c r="W35" s="57" t="n"/>
      <c r="X35" s="59">
        <f>IFERROR(L35/W35,"")</f>
        <v/>
      </c>
    </row>
    <row r="36" ht="15" customHeight="1" s="44">
      <c r="A36" s="48" t="n"/>
      <c r="B36" s="49" t="n"/>
      <c r="C36" s="50" t="n"/>
      <c r="D36" s="51" t="n"/>
      <c r="E36" s="51" t="n"/>
      <c r="F36" s="51">
        <f>IFERROR(E36-D36,"")</f>
        <v/>
      </c>
      <c r="G36" s="51" t="n"/>
      <c r="H36" s="51" t="n"/>
      <c r="I36" s="51">
        <f>IFERROR(G36+H36,"")</f>
        <v/>
      </c>
      <c r="J36" s="51" t="n"/>
      <c r="K36" s="51" t="n"/>
      <c r="L36" s="51">
        <f>IFERROR(I36+J36+K36,"")</f>
        <v/>
      </c>
      <c r="M36" s="51" t="n"/>
      <c r="N36" s="51" t="n"/>
      <c r="O36" s="52" t="n"/>
      <c r="P36" s="51" t="n"/>
      <c r="Q36" s="51" t="n"/>
      <c r="R36" s="51" t="n"/>
      <c r="S36" s="51" t="n"/>
      <c r="T36" s="51">
        <f>IFERROR(K36,"")</f>
        <v/>
      </c>
      <c r="U36" s="51">
        <f>IFERROR(E36+J36+K36-M36-N36-P36-Q36-R36,"")</f>
        <v/>
      </c>
      <c r="V36" s="51">
        <f>IFERROR(S36-U36,"")</f>
        <v/>
      </c>
      <c r="W36" s="51" t="n"/>
      <c r="X36" s="53">
        <f>IFERROR(L36/W36,"")</f>
        <v/>
      </c>
    </row>
    <row r="37" ht="15" customHeight="1" s="44">
      <c r="A37" s="54" t="n"/>
      <c r="B37" s="55" t="n"/>
      <c r="C37" s="56" t="n"/>
      <c r="D37" s="57" t="n"/>
      <c r="E37" s="57" t="n"/>
      <c r="F37" s="57">
        <f>IFERROR(E37-D37,"")</f>
        <v/>
      </c>
      <c r="G37" s="57" t="n"/>
      <c r="H37" s="57" t="n"/>
      <c r="I37" s="57">
        <f>IFERROR(G37+H37,"")</f>
        <v/>
      </c>
      <c r="J37" s="57" t="n"/>
      <c r="K37" s="57" t="n"/>
      <c r="L37" s="57">
        <f>IFERROR(I37+J37+K37,"")</f>
        <v/>
      </c>
      <c r="M37" s="57" t="n"/>
      <c r="N37" s="57" t="n"/>
      <c r="O37" s="58" t="n"/>
      <c r="P37" s="57" t="n"/>
      <c r="Q37" s="57" t="n"/>
      <c r="R37" s="57" t="n"/>
      <c r="S37" s="57" t="n"/>
      <c r="T37" s="57">
        <f>IFERROR(K37,"")</f>
        <v/>
      </c>
      <c r="U37" s="57">
        <f>IFERROR(E37+J37+K37-M37-N37-P37-Q37-R37,"")</f>
        <v/>
      </c>
      <c r="V37" s="57">
        <f>IFERROR(S37-U37,"")</f>
        <v/>
      </c>
      <c r="W37" s="57" t="n"/>
      <c r="X37" s="59">
        <f>IFERROR(L37/W37,"")</f>
        <v/>
      </c>
    </row>
    <row r="38" ht="15" customHeight="1" s="44">
      <c r="A38" s="48" t="n"/>
      <c r="B38" s="49" t="n"/>
      <c r="C38" s="50" t="n"/>
      <c r="D38" s="51" t="n"/>
      <c r="E38" s="51" t="n"/>
      <c r="F38" s="51">
        <f>IFERROR(E38-D38,"")</f>
        <v/>
      </c>
      <c r="G38" s="51" t="n"/>
      <c r="H38" s="51" t="n"/>
      <c r="I38" s="51">
        <f>IFERROR(G38+H38,"")</f>
        <v/>
      </c>
      <c r="J38" s="51" t="n"/>
      <c r="K38" s="51" t="n"/>
      <c r="L38" s="51">
        <f>IFERROR(I38+J38+K38,"")</f>
        <v/>
      </c>
      <c r="M38" s="51" t="n"/>
      <c r="N38" s="51" t="n"/>
      <c r="O38" s="52" t="n"/>
      <c r="P38" s="51" t="n"/>
      <c r="Q38" s="51" t="n"/>
      <c r="R38" s="51" t="n"/>
      <c r="S38" s="51" t="n"/>
      <c r="T38" s="51">
        <f>IFERROR(K38,"")</f>
        <v/>
      </c>
      <c r="U38" s="51">
        <f>IFERROR(E38+J38+K38-M38-N38-P38-Q38-R38,"")</f>
        <v/>
      </c>
      <c r="V38" s="51">
        <f>IFERROR(S38-U38,"")</f>
        <v/>
      </c>
      <c r="W38" s="51" t="n"/>
      <c r="X38" s="53">
        <f>IFERROR(L38/W38,"")</f>
        <v/>
      </c>
    </row>
    <row r="39" ht="15" customHeight="1" s="44">
      <c r="A39" s="54" t="n"/>
      <c r="B39" s="55" t="n"/>
      <c r="C39" s="56" t="n"/>
      <c r="D39" s="57" t="n"/>
      <c r="E39" s="57" t="n"/>
      <c r="F39" s="57">
        <f>IFERROR(E39-D39,"")</f>
        <v/>
      </c>
      <c r="G39" s="57" t="n"/>
      <c r="H39" s="57" t="n"/>
      <c r="I39" s="57">
        <f>IFERROR(G39+H39,"")</f>
        <v/>
      </c>
      <c r="J39" s="57" t="n"/>
      <c r="K39" s="57" t="n"/>
      <c r="L39" s="57">
        <f>IFERROR(I39+J39+K39,"")</f>
        <v/>
      </c>
      <c r="M39" s="57" t="n"/>
      <c r="N39" s="57" t="n"/>
      <c r="O39" s="58" t="n"/>
      <c r="P39" s="57" t="n"/>
      <c r="Q39" s="57" t="n"/>
      <c r="R39" s="57" t="n"/>
      <c r="S39" s="57" t="n"/>
      <c r="T39" s="57">
        <f>IFERROR(K39,"")</f>
        <v/>
      </c>
      <c r="U39" s="57">
        <f>IFERROR(E39+J39+K39-M39-N39-P39-Q39-R39,"")</f>
        <v/>
      </c>
      <c r="V39" s="57">
        <f>IFERROR(S39-U39,"")</f>
        <v/>
      </c>
      <c r="W39" s="57" t="n"/>
      <c r="X39" s="59">
        <f>IFERROR(L39/W39,"")</f>
        <v/>
      </c>
    </row>
    <row r="40" ht="15" customHeight="1" s="44">
      <c r="A40" s="48" t="n"/>
      <c r="B40" s="49" t="n"/>
      <c r="C40" s="50" t="n"/>
      <c r="D40" s="51" t="n"/>
      <c r="E40" s="51" t="n"/>
      <c r="F40" s="51">
        <f>IFERROR(E40-D40,"")</f>
        <v/>
      </c>
      <c r="G40" s="51" t="n"/>
      <c r="H40" s="51" t="n"/>
      <c r="I40" s="51">
        <f>IFERROR(G40+H40,"")</f>
        <v/>
      </c>
      <c r="J40" s="51" t="n"/>
      <c r="K40" s="51" t="n"/>
      <c r="L40" s="51">
        <f>IFERROR(I40+J40+K40,"")</f>
        <v/>
      </c>
      <c r="M40" s="51" t="n"/>
      <c r="N40" s="51" t="n"/>
      <c r="O40" s="52" t="n"/>
      <c r="P40" s="51" t="n"/>
      <c r="Q40" s="51" t="n"/>
      <c r="R40" s="51" t="n"/>
      <c r="S40" s="51" t="n"/>
      <c r="T40" s="51">
        <f>IFERROR(K40,"")</f>
        <v/>
      </c>
      <c r="U40" s="51">
        <f>IFERROR(E40+J40+K40-M40-N40-P40-Q40-R40,"")</f>
        <v/>
      </c>
      <c r="V40" s="51">
        <f>IFERROR(S40-U40,"")</f>
        <v/>
      </c>
      <c r="W40" s="51" t="n"/>
      <c r="X40" s="53">
        <f>IFERROR(L40/W40,"")</f>
        <v/>
      </c>
    </row>
    <row r="41" ht="15" customHeight="1" s="44">
      <c r="A41" s="54" t="n"/>
      <c r="B41" s="55" t="n"/>
      <c r="C41" s="56" t="n"/>
      <c r="D41" s="57" t="n"/>
      <c r="E41" s="57" t="n"/>
      <c r="F41" s="57">
        <f>IFERROR(E41-D41,"")</f>
        <v/>
      </c>
      <c r="G41" s="57" t="n"/>
      <c r="H41" s="57" t="n"/>
      <c r="I41" s="57">
        <f>IFERROR(G41+H41,"")</f>
        <v/>
      </c>
      <c r="J41" s="57" t="n"/>
      <c r="K41" s="57" t="n"/>
      <c r="L41" s="57">
        <f>IFERROR(I41+J41+K41,"")</f>
        <v/>
      </c>
      <c r="M41" s="57" t="n"/>
      <c r="N41" s="57" t="n"/>
      <c r="O41" s="58" t="n"/>
      <c r="P41" s="57" t="n"/>
      <c r="Q41" s="57" t="n"/>
      <c r="R41" s="57" t="n"/>
      <c r="S41" s="57" t="n"/>
      <c r="T41" s="57">
        <f>IFERROR(K41,"")</f>
        <v/>
      </c>
      <c r="U41" s="57">
        <f>IFERROR(E41+J41+K41-M41-N41-P41-Q41-R41,"")</f>
        <v/>
      </c>
      <c r="V41" s="57">
        <f>IFERROR(S41-U41,"")</f>
        <v/>
      </c>
      <c r="W41" s="57" t="n"/>
      <c r="X41" s="59">
        <f>IFERROR(L41/W41,"")</f>
        <v/>
      </c>
    </row>
    <row r="42" ht="15" customHeight="1" s="44">
      <c r="A42" s="48" t="n"/>
      <c r="B42" s="49" t="n"/>
      <c r="C42" s="50" t="n"/>
      <c r="D42" s="51" t="n"/>
      <c r="E42" s="51" t="n"/>
      <c r="F42" s="51">
        <f>IFERROR(E42-D42,"")</f>
        <v/>
      </c>
      <c r="G42" s="51" t="n"/>
      <c r="H42" s="51" t="n"/>
      <c r="I42" s="51">
        <f>IFERROR(G42+H42,"")</f>
        <v/>
      </c>
      <c r="J42" s="51" t="n"/>
      <c r="K42" s="51" t="n"/>
      <c r="L42" s="51">
        <f>IFERROR(I42+J42+K42,"")</f>
        <v/>
      </c>
      <c r="M42" s="51" t="n"/>
      <c r="N42" s="51" t="n"/>
      <c r="O42" s="52" t="n"/>
      <c r="P42" s="51" t="n"/>
      <c r="Q42" s="51" t="n"/>
      <c r="R42" s="51" t="n"/>
      <c r="S42" s="51" t="n"/>
      <c r="T42" s="51">
        <f>IFERROR(K42,"")</f>
        <v/>
      </c>
      <c r="U42" s="51">
        <f>IFERROR(E42+J42+K42-M42-N42-P42-Q42-R42,"")</f>
        <v/>
      </c>
      <c r="V42" s="51">
        <f>IFERROR(S42-U42,"")</f>
        <v/>
      </c>
      <c r="W42" s="51" t="n"/>
      <c r="X42" s="53">
        <f>IFERROR(L42/W42,"")</f>
        <v/>
      </c>
    </row>
    <row r="43" ht="15" customHeight="1" s="44">
      <c r="A43" s="54" t="n"/>
      <c r="B43" s="55" t="n"/>
      <c r="C43" s="56" t="n"/>
      <c r="D43" s="57" t="n"/>
      <c r="E43" s="57" t="n"/>
      <c r="F43" s="57">
        <f>IFERROR(E43-D43,"")</f>
        <v/>
      </c>
      <c r="G43" s="57" t="n"/>
      <c r="H43" s="57" t="n"/>
      <c r="I43" s="57">
        <f>IFERROR(G43+H43,"")</f>
        <v/>
      </c>
      <c r="J43" s="57" t="n"/>
      <c r="K43" s="57" t="n"/>
      <c r="L43" s="57">
        <f>IFERROR(I43+J43+K43,"")</f>
        <v/>
      </c>
      <c r="M43" s="57" t="n"/>
      <c r="N43" s="57" t="n"/>
      <c r="O43" s="58" t="n"/>
      <c r="P43" s="57" t="n"/>
      <c r="Q43" s="57" t="n"/>
      <c r="R43" s="57" t="n"/>
      <c r="S43" s="57" t="n"/>
      <c r="T43" s="57">
        <f>IFERROR(K43,"")</f>
        <v/>
      </c>
      <c r="U43" s="57">
        <f>IFERROR(E43+J43+K43-M43-N43-P43-Q43-R43,"")</f>
        <v/>
      </c>
      <c r="V43" s="57">
        <f>IFERROR(S43-U43,"")</f>
        <v/>
      </c>
      <c r="W43" s="57" t="n"/>
      <c r="X43" s="59">
        <f>IFERROR(L43/W43,"")</f>
        <v/>
      </c>
    </row>
    <row r="44" ht="15" customHeight="1" s="44">
      <c r="A44" s="48" t="n"/>
      <c r="B44" s="49" t="n"/>
      <c r="C44" s="50" t="n"/>
      <c r="D44" s="51" t="n"/>
      <c r="E44" s="51" t="n"/>
      <c r="F44" s="51">
        <f>IFERROR(E44-D44,"")</f>
        <v/>
      </c>
      <c r="G44" s="51" t="n"/>
      <c r="H44" s="51" t="n"/>
      <c r="I44" s="51">
        <f>IFERROR(G44+H44,"")</f>
        <v/>
      </c>
      <c r="J44" s="51" t="n"/>
      <c r="K44" s="51" t="n"/>
      <c r="L44" s="51">
        <f>IFERROR(I44+J44+K44,"")</f>
        <v/>
      </c>
      <c r="M44" s="51" t="n"/>
      <c r="N44" s="51" t="n"/>
      <c r="O44" s="52" t="n"/>
      <c r="P44" s="51" t="n"/>
      <c r="Q44" s="51" t="n"/>
      <c r="R44" s="51" t="n"/>
      <c r="S44" s="51" t="n"/>
      <c r="T44" s="51">
        <f>IFERROR(K44,"")</f>
        <v/>
      </c>
      <c r="U44" s="51">
        <f>IFERROR(E44+J44+K44-M44-N44-P44-Q44-R44,"")</f>
        <v/>
      </c>
      <c r="V44" s="51">
        <f>IFERROR(S44-U44,"")</f>
        <v/>
      </c>
      <c r="W44" s="51" t="n"/>
      <c r="X44" s="53">
        <f>IFERROR(L44/W44,"")</f>
        <v/>
      </c>
    </row>
    <row r="45" ht="15" customHeight="1" s="44">
      <c r="A45" s="54" t="n"/>
      <c r="B45" s="55" t="n"/>
      <c r="C45" s="56" t="n"/>
      <c r="D45" s="57" t="n"/>
      <c r="E45" s="57" t="n"/>
      <c r="F45" s="57">
        <f>IFERROR(E45-D45,"")</f>
        <v/>
      </c>
      <c r="G45" s="57" t="n"/>
      <c r="H45" s="57" t="n"/>
      <c r="I45" s="57">
        <f>IFERROR(G45+H45,"")</f>
        <v/>
      </c>
      <c r="J45" s="57" t="n"/>
      <c r="K45" s="57" t="n"/>
      <c r="L45" s="57">
        <f>IFERROR(I45+J45+K45,"")</f>
        <v/>
      </c>
      <c r="M45" s="57" t="n"/>
      <c r="N45" s="57" t="n"/>
      <c r="O45" s="58" t="n"/>
      <c r="P45" s="57" t="n"/>
      <c r="Q45" s="57" t="n"/>
      <c r="R45" s="57" t="n"/>
      <c r="S45" s="57" t="n"/>
      <c r="T45" s="57">
        <f>IFERROR(K45,"")</f>
        <v/>
      </c>
      <c r="U45" s="57">
        <f>IFERROR(E45+J45+K45-M45-N45-P45-Q45-R45,"")</f>
        <v/>
      </c>
      <c r="V45" s="57">
        <f>IFERROR(S45-U45,"")</f>
        <v/>
      </c>
      <c r="W45" s="57" t="n"/>
      <c r="X45" s="59">
        <f>IFERROR(L45/W45,"")</f>
        <v/>
      </c>
    </row>
    <row r="46" ht="15" customHeight="1" s="44">
      <c r="A46" s="48" t="n"/>
      <c r="B46" s="49" t="n"/>
      <c r="C46" s="50" t="n"/>
      <c r="D46" s="51" t="n"/>
      <c r="E46" s="51" t="n"/>
      <c r="F46" s="51">
        <f>IFERROR(E46-D46,"")</f>
        <v/>
      </c>
      <c r="G46" s="51" t="n"/>
      <c r="H46" s="51" t="n"/>
      <c r="I46" s="51">
        <f>IFERROR(G46+H46,"")</f>
        <v/>
      </c>
      <c r="J46" s="51" t="n"/>
      <c r="K46" s="51" t="n"/>
      <c r="L46" s="51">
        <f>IFERROR(I46+J46+K46,"")</f>
        <v/>
      </c>
      <c r="M46" s="51" t="n"/>
      <c r="N46" s="51" t="n"/>
      <c r="O46" s="52" t="n"/>
      <c r="P46" s="51" t="n"/>
      <c r="Q46" s="51" t="n"/>
      <c r="R46" s="51" t="n"/>
      <c r="S46" s="51" t="n"/>
      <c r="T46" s="51">
        <f>IFERROR(K46,"")</f>
        <v/>
      </c>
      <c r="U46" s="51">
        <f>IFERROR(E46+J46+K46-M46-N46-P46-Q46-R46,"")</f>
        <v/>
      </c>
      <c r="V46" s="51">
        <f>IFERROR(S46-U46,"")</f>
        <v/>
      </c>
      <c r="W46" s="51" t="n"/>
      <c r="X46" s="53">
        <f>IFERROR(L46/W46,"")</f>
        <v/>
      </c>
    </row>
    <row r="47" ht="15" customHeight="1" s="44">
      <c r="A47" s="54" t="n"/>
      <c r="B47" s="55" t="n"/>
      <c r="C47" s="56" t="n"/>
      <c r="D47" s="57" t="n"/>
      <c r="E47" s="57" t="n"/>
      <c r="F47" s="57">
        <f>IFERROR(E47-D47,"")</f>
        <v/>
      </c>
      <c r="G47" s="57" t="n"/>
      <c r="H47" s="57" t="n"/>
      <c r="I47" s="57">
        <f>IFERROR(G47+H47,"")</f>
        <v/>
      </c>
      <c r="J47" s="57" t="n"/>
      <c r="K47" s="57" t="n"/>
      <c r="L47" s="57">
        <f>IFERROR(I47+J47+K47,"")</f>
        <v/>
      </c>
      <c r="M47" s="57" t="n"/>
      <c r="N47" s="57" t="n"/>
      <c r="O47" s="58" t="n"/>
      <c r="P47" s="57" t="n"/>
      <c r="Q47" s="57" t="n"/>
      <c r="R47" s="57" t="n"/>
      <c r="S47" s="57" t="n"/>
      <c r="T47" s="57">
        <f>IFERROR(K47,"")</f>
        <v/>
      </c>
      <c r="U47" s="57">
        <f>IFERROR(E47+J47+K47-M47-N47-P47-Q47-R47,"")</f>
        <v/>
      </c>
      <c r="V47" s="57">
        <f>IFERROR(S47-U47,"")</f>
        <v/>
      </c>
      <c r="W47" s="57" t="n"/>
      <c r="X47" s="59">
        <f>IFERROR(L47/W47,"")</f>
        <v/>
      </c>
    </row>
    <row r="48" ht="15" customHeight="1" s="44">
      <c r="A48" s="48" t="n"/>
      <c r="B48" s="49" t="n"/>
      <c r="C48" s="50" t="n"/>
      <c r="D48" s="51" t="n"/>
      <c r="E48" s="51" t="n"/>
      <c r="F48" s="51">
        <f>IFERROR(E48-D48,"")</f>
        <v/>
      </c>
      <c r="G48" s="51" t="n"/>
      <c r="H48" s="51" t="n"/>
      <c r="I48" s="51">
        <f>IFERROR(G48+H48,"")</f>
        <v/>
      </c>
      <c r="J48" s="51" t="n"/>
      <c r="K48" s="51" t="n"/>
      <c r="L48" s="51">
        <f>IFERROR(I48+J48+K48,"")</f>
        <v/>
      </c>
      <c r="M48" s="51" t="n"/>
      <c r="N48" s="51" t="n"/>
      <c r="O48" s="52" t="n"/>
      <c r="P48" s="51" t="n"/>
      <c r="Q48" s="51" t="n"/>
      <c r="R48" s="51" t="n"/>
      <c r="S48" s="51" t="n"/>
      <c r="T48" s="51">
        <f>IFERROR(K48,"")</f>
        <v/>
      </c>
      <c r="U48" s="51">
        <f>IFERROR(E48+J48+K48-M48-N48-P48-Q48-R48,"")</f>
        <v/>
      </c>
      <c r="V48" s="51">
        <f>IFERROR(S48-U48,"")</f>
        <v/>
      </c>
      <c r="W48" s="51" t="n"/>
      <c r="X48" s="53">
        <f>IFERROR(L48/W48,"")</f>
        <v/>
      </c>
    </row>
    <row r="49" ht="15" customHeight="1" s="44">
      <c r="A49" s="54" t="n"/>
      <c r="B49" s="55" t="n"/>
      <c r="C49" s="56" t="n"/>
      <c r="D49" s="57" t="n"/>
      <c r="E49" s="57" t="n"/>
      <c r="F49" s="57">
        <f>IFERROR(E49-D49,"")</f>
        <v/>
      </c>
      <c r="G49" s="57" t="n"/>
      <c r="H49" s="57" t="n"/>
      <c r="I49" s="57">
        <f>IFERROR(G49+H49,"")</f>
        <v/>
      </c>
      <c r="J49" s="57" t="n"/>
      <c r="K49" s="57" t="n"/>
      <c r="L49" s="57">
        <f>IFERROR(I49+J49+K49,"")</f>
        <v/>
      </c>
      <c r="M49" s="57" t="n"/>
      <c r="N49" s="57" t="n"/>
      <c r="O49" s="58" t="n"/>
      <c r="P49" s="57" t="n"/>
      <c r="Q49" s="57" t="n"/>
      <c r="R49" s="57" t="n"/>
      <c r="S49" s="57" t="n"/>
      <c r="T49" s="57">
        <f>IFERROR(K49,"")</f>
        <v/>
      </c>
      <c r="U49" s="57">
        <f>IFERROR(E49+J49+K49-M49-N49-P49-Q49-R49,"")</f>
        <v/>
      </c>
      <c r="V49" s="57">
        <f>IFERROR(S49-U49,"")</f>
        <v/>
      </c>
      <c r="W49" s="57" t="n"/>
      <c r="X49" s="59">
        <f>IFERROR(L49/W49,"")</f>
        <v/>
      </c>
    </row>
    <row r="50" ht="15" customHeight="1" s="44">
      <c r="A50" s="48" t="n"/>
      <c r="B50" s="49" t="n"/>
      <c r="C50" s="50" t="n"/>
      <c r="D50" s="51" t="n"/>
      <c r="E50" s="51" t="n"/>
      <c r="F50" s="51">
        <f>IFERROR(E50-D50,"")</f>
        <v/>
      </c>
      <c r="G50" s="51" t="n"/>
      <c r="H50" s="51" t="n"/>
      <c r="I50" s="51">
        <f>IFERROR(G50+H50,"")</f>
        <v/>
      </c>
      <c r="J50" s="51" t="n"/>
      <c r="K50" s="51" t="n"/>
      <c r="L50" s="51">
        <f>IFERROR(I50+J50+K50,"")</f>
        <v/>
      </c>
      <c r="M50" s="51" t="n"/>
      <c r="N50" s="51" t="n"/>
      <c r="O50" s="52" t="n"/>
      <c r="P50" s="51" t="n"/>
      <c r="Q50" s="51" t="n"/>
      <c r="R50" s="51" t="n"/>
      <c r="S50" s="51" t="n"/>
      <c r="T50" s="51">
        <f>IFERROR(K50,"")</f>
        <v/>
      </c>
      <c r="U50" s="51">
        <f>IFERROR(E50+J50+K50-M50-N50-P50-Q50-R50,"")</f>
        <v/>
      </c>
      <c r="V50" s="51">
        <f>IFERROR(S50-U50,"")</f>
        <v/>
      </c>
      <c r="W50" s="51" t="n"/>
      <c r="X50" s="53">
        <f>IFERROR(L50/W50,"")</f>
        <v/>
      </c>
    </row>
    <row r="51" ht="15" customHeight="1" s="44">
      <c r="A51" s="54" t="n"/>
      <c r="B51" s="55" t="n"/>
      <c r="C51" s="56" t="n"/>
      <c r="D51" s="57" t="n"/>
      <c r="E51" s="57" t="n"/>
      <c r="F51" s="57">
        <f>IFERROR(E51-D51,"")</f>
        <v/>
      </c>
      <c r="G51" s="57" t="n"/>
      <c r="H51" s="57" t="n"/>
      <c r="I51" s="57">
        <f>IFERROR(G51+H51,"")</f>
        <v/>
      </c>
      <c r="J51" s="57" t="n"/>
      <c r="K51" s="57" t="n"/>
      <c r="L51" s="57">
        <f>IFERROR(I51+J51+K51,"")</f>
        <v/>
      </c>
      <c r="M51" s="57" t="n"/>
      <c r="N51" s="57" t="n"/>
      <c r="O51" s="58" t="n"/>
      <c r="P51" s="57" t="n"/>
      <c r="Q51" s="57" t="n"/>
      <c r="R51" s="57" t="n"/>
      <c r="S51" s="57" t="n"/>
      <c r="T51" s="57">
        <f>IFERROR(K51,"")</f>
        <v/>
      </c>
      <c r="U51" s="57">
        <f>IFERROR(E51+J51+K51-M51-N51-P51-Q51-R51,"")</f>
        <v/>
      </c>
      <c r="V51" s="57">
        <f>IFERROR(S51-U51,"")</f>
        <v/>
      </c>
      <c r="W51" s="57" t="n"/>
      <c r="X51" s="59">
        <f>IFERROR(L51/W51,"")</f>
        <v/>
      </c>
    </row>
    <row r="52" ht="15" customHeight="1" s="44">
      <c r="A52" s="48" t="n"/>
      <c r="B52" s="49" t="n"/>
      <c r="C52" s="50" t="n"/>
      <c r="D52" s="51" t="n"/>
      <c r="E52" s="51" t="n"/>
      <c r="F52" s="51">
        <f>IFERROR(E52-D52,"")</f>
        <v/>
      </c>
      <c r="G52" s="51" t="n"/>
      <c r="H52" s="51" t="n"/>
      <c r="I52" s="51">
        <f>IFERROR(G52+H52,"")</f>
        <v/>
      </c>
      <c r="J52" s="51" t="n"/>
      <c r="K52" s="51" t="n"/>
      <c r="L52" s="51">
        <f>IFERROR(I52+J52+K52,"")</f>
        <v/>
      </c>
      <c r="M52" s="51" t="n"/>
      <c r="N52" s="51" t="n"/>
      <c r="O52" s="52" t="n"/>
      <c r="P52" s="51" t="n"/>
      <c r="Q52" s="51" t="n"/>
      <c r="R52" s="51" t="n"/>
      <c r="S52" s="51" t="n"/>
      <c r="T52" s="51">
        <f>IFERROR(K52,"")</f>
        <v/>
      </c>
      <c r="U52" s="51">
        <f>IFERROR(E52+J52+K52-M52-N52-P52-Q52-R52,"")</f>
        <v/>
      </c>
      <c r="V52" s="51">
        <f>IFERROR(S52-U52,"")</f>
        <v/>
      </c>
      <c r="W52" s="51" t="n"/>
      <c r="X52" s="53">
        <f>IFERROR(L52/W52,"")</f>
        <v/>
      </c>
    </row>
    <row r="53" ht="15" customHeight="1" s="44">
      <c r="A53" s="54" t="n"/>
      <c r="B53" s="55" t="n"/>
      <c r="C53" s="56" t="n"/>
      <c r="D53" s="57" t="n"/>
      <c r="E53" s="57" t="n"/>
      <c r="F53" s="57">
        <f>IFERROR(E53-D53,"")</f>
        <v/>
      </c>
      <c r="G53" s="57" t="n"/>
      <c r="H53" s="57" t="n"/>
      <c r="I53" s="57">
        <f>IFERROR(G53+H53,"")</f>
        <v/>
      </c>
      <c r="J53" s="57" t="n"/>
      <c r="K53" s="57" t="n"/>
      <c r="L53" s="57">
        <f>IFERROR(I53+J53+K53,"")</f>
        <v/>
      </c>
      <c r="M53" s="57" t="n"/>
      <c r="N53" s="57" t="n"/>
      <c r="O53" s="58" t="n"/>
      <c r="P53" s="57" t="n"/>
      <c r="Q53" s="57" t="n"/>
      <c r="R53" s="57" t="n"/>
      <c r="S53" s="57" t="n"/>
      <c r="T53" s="57">
        <f>IFERROR(K53,"")</f>
        <v/>
      </c>
      <c r="U53" s="57">
        <f>IFERROR(E53+J53+K53-M53-N53-P53-Q53-R53,"")</f>
        <v/>
      </c>
      <c r="V53" s="57">
        <f>IFERROR(S53-U53,"")</f>
        <v/>
      </c>
      <c r="W53" s="57" t="n"/>
      <c r="X53" s="59">
        <f>IFERROR(L53/W53,"")</f>
        <v/>
      </c>
    </row>
    <row r="54" ht="15" customHeight="1" s="44">
      <c r="A54" s="48" t="n"/>
      <c r="B54" s="49" t="n"/>
      <c r="C54" s="50" t="n"/>
      <c r="D54" s="51" t="n"/>
      <c r="E54" s="51" t="n"/>
      <c r="F54" s="51">
        <f>IFERROR(E54-D54,"")</f>
        <v/>
      </c>
      <c r="G54" s="51" t="n"/>
      <c r="H54" s="51" t="n"/>
      <c r="I54" s="51">
        <f>IFERROR(G54+H54,"")</f>
        <v/>
      </c>
      <c r="J54" s="51" t="n"/>
      <c r="K54" s="51" t="n"/>
      <c r="L54" s="51">
        <f>IFERROR(I54+J54+K54,"")</f>
        <v/>
      </c>
      <c r="M54" s="51" t="n"/>
      <c r="N54" s="51" t="n"/>
      <c r="O54" s="52" t="n"/>
      <c r="P54" s="51" t="n"/>
      <c r="Q54" s="51" t="n"/>
      <c r="R54" s="51" t="n"/>
      <c r="S54" s="51" t="n"/>
      <c r="T54" s="51">
        <f>IFERROR(K54,"")</f>
        <v/>
      </c>
      <c r="U54" s="51">
        <f>IFERROR(E54+J54+K54-M54-N54-P54-Q54-R54,"")</f>
        <v/>
      </c>
      <c r="V54" s="51">
        <f>IFERROR(S54-U54,"")</f>
        <v/>
      </c>
      <c r="W54" s="51" t="n"/>
      <c r="X54" s="53">
        <f>IFERROR(L54/W54,"")</f>
        <v/>
      </c>
    </row>
    <row r="55" ht="15" customHeight="1" s="44">
      <c r="A55" s="54" t="n"/>
      <c r="B55" s="55" t="n"/>
      <c r="C55" s="56" t="n"/>
      <c r="D55" s="57" t="n"/>
      <c r="E55" s="57" t="n"/>
      <c r="F55" s="57">
        <f>IFERROR(E55-D55,"")</f>
        <v/>
      </c>
      <c r="G55" s="57" t="n"/>
      <c r="H55" s="57" t="n"/>
      <c r="I55" s="57">
        <f>IFERROR(G55+H55,"")</f>
        <v/>
      </c>
      <c r="J55" s="57" t="n"/>
      <c r="K55" s="57" t="n"/>
      <c r="L55" s="57">
        <f>IFERROR(I55+J55+K55,"")</f>
        <v/>
      </c>
      <c r="M55" s="57" t="n"/>
      <c r="N55" s="57" t="n"/>
      <c r="O55" s="58" t="n"/>
      <c r="P55" s="57" t="n"/>
      <c r="Q55" s="57" t="n"/>
      <c r="R55" s="57" t="n"/>
      <c r="S55" s="57" t="n"/>
      <c r="T55" s="57">
        <f>IFERROR(K55,"")</f>
        <v/>
      </c>
      <c r="U55" s="57">
        <f>IFERROR(E55+J55+K55-M55-N55-P55-Q55-R55,"")</f>
        <v/>
      </c>
      <c r="V55" s="57">
        <f>IFERROR(S55-U55,"")</f>
        <v/>
      </c>
      <c r="W55" s="57" t="n"/>
      <c r="X55" s="59">
        <f>IFERROR(L55/W55,"")</f>
        <v/>
      </c>
    </row>
    <row r="56" ht="15" customHeight="1" s="44">
      <c r="A56" s="48" t="n"/>
      <c r="B56" s="49" t="n"/>
      <c r="C56" s="50" t="n"/>
      <c r="D56" s="51" t="n"/>
      <c r="E56" s="51" t="n"/>
      <c r="F56" s="51">
        <f>IFERROR(E56-D56,"")</f>
        <v/>
      </c>
      <c r="G56" s="51" t="n"/>
      <c r="H56" s="51" t="n"/>
      <c r="I56" s="51">
        <f>IFERROR(G56+H56,"")</f>
        <v/>
      </c>
      <c r="J56" s="51" t="n"/>
      <c r="K56" s="51" t="n"/>
      <c r="L56" s="51">
        <f>IFERROR(I56+J56+K56,"")</f>
        <v/>
      </c>
      <c r="M56" s="51" t="n"/>
      <c r="N56" s="51" t="n"/>
      <c r="O56" s="52" t="n"/>
      <c r="P56" s="51" t="n"/>
      <c r="Q56" s="51" t="n"/>
      <c r="R56" s="51" t="n"/>
      <c r="S56" s="51" t="n"/>
      <c r="T56" s="51">
        <f>IFERROR(K56,"")</f>
        <v/>
      </c>
      <c r="U56" s="51">
        <f>IFERROR(E56+J56+K56-M56-N56-P56-Q56-R56,"")</f>
        <v/>
      </c>
      <c r="V56" s="51">
        <f>IFERROR(S56-U56,"")</f>
        <v/>
      </c>
      <c r="W56" s="51" t="n"/>
      <c r="X56" s="53">
        <f>IFERROR(L56/W56,"")</f>
        <v/>
      </c>
    </row>
    <row r="57" ht="15" customHeight="1" s="44">
      <c r="A57" s="54" t="n"/>
      <c r="B57" s="55" t="n"/>
      <c r="C57" s="56" t="n"/>
      <c r="D57" s="57" t="n"/>
      <c r="E57" s="57" t="n"/>
      <c r="F57" s="57">
        <f>IFERROR(E57-D57,"")</f>
        <v/>
      </c>
      <c r="G57" s="57" t="n"/>
      <c r="H57" s="57" t="n"/>
      <c r="I57" s="57">
        <f>IFERROR(G57+H57,"")</f>
        <v/>
      </c>
      <c r="J57" s="57" t="n"/>
      <c r="K57" s="57" t="n"/>
      <c r="L57" s="57">
        <f>IFERROR(I57+J57+K57,"")</f>
        <v/>
      </c>
      <c r="M57" s="57" t="n"/>
      <c r="N57" s="57" t="n"/>
      <c r="O57" s="58" t="n"/>
      <c r="P57" s="57" t="n"/>
      <c r="Q57" s="57" t="n"/>
      <c r="R57" s="57" t="n"/>
      <c r="S57" s="57" t="n"/>
      <c r="T57" s="57">
        <f>IFERROR(K57,"")</f>
        <v/>
      </c>
      <c r="U57" s="57">
        <f>IFERROR(E57+J57+K57-M57-N57-P57-Q57-R57,"")</f>
        <v/>
      </c>
      <c r="V57" s="57">
        <f>IFERROR(S57-U57,"")</f>
        <v/>
      </c>
      <c r="W57" s="57" t="n"/>
      <c r="X57" s="59">
        <f>IFERROR(L57/W57,"")</f>
        <v/>
      </c>
    </row>
    <row r="58" ht="15" customHeight="1" s="44">
      <c r="A58" s="48" t="n"/>
      <c r="B58" s="49" t="n"/>
      <c r="C58" s="50" t="n"/>
      <c r="D58" s="51" t="n"/>
      <c r="E58" s="51" t="n"/>
      <c r="F58" s="51">
        <f>IFERROR(E58-D58,"")</f>
        <v/>
      </c>
      <c r="G58" s="51" t="n"/>
      <c r="H58" s="51" t="n"/>
      <c r="I58" s="51">
        <f>IFERROR(G58+H58,"")</f>
        <v/>
      </c>
      <c r="J58" s="51" t="n"/>
      <c r="K58" s="51" t="n"/>
      <c r="L58" s="51">
        <f>IFERROR(I58+J58+K58,"")</f>
        <v/>
      </c>
      <c r="M58" s="51" t="n"/>
      <c r="N58" s="51" t="n"/>
      <c r="O58" s="52" t="n"/>
      <c r="P58" s="51" t="n"/>
      <c r="Q58" s="51" t="n"/>
      <c r="R58" s="51" t="n"/>
      <c r="S58" s="51" t="n"/>
      <c r="T58" s="51">
        <f>IFERROR(K58,"")</f>
        <v/>
      </c>
      <c r="U58" s="51">
        <f>IFERROR(E58+J58+K58-M58-N58-P58-Q58-R58,"")</f>
        <v/>
      </c>
      <c r="V58" s="51">
        <f>IFERROR(S58-U58,"")</f>
        <v/>
      </c>
      <c r="W58" s="51" t="n"/>
      <c r="X58" s="53">
        <f>IFERROR(L58/W58,"")</f>
        <v/>
      </c>
    </row>
    <row r="59" ht="15" customHeight="1" s="44">
      <c r="A59" s="54" t="n"/>
      <c r="B59" s="55" t="n"/>
      <c r="C59" s="56" t="n"/>
      <c r="D59" s="57" t="n"/>
      <c r="E59" s="57" t="n"/>
      <c r="F59" s="57">
        <f>IFERROR(E59-D59,"")</f>
        <v/>
      </c>
      <c r="G59" s="57" t="n"/>
      <c r="H59" s="57" t="n"/>
      <c r="I59" s="57">
        <f>IFERROR(G59+H59,"")</f>
        <v/>
      </c>
      <c r="J59" s="57" t="n"/>
      <c r="K59" s="57" t="n"/>
      <c r="L59" s="57">
        <f>IFERROR(I59+J59+K59,"")</f>
        <v/>
      </c>
      <c r="M59" s="57" t="n"/>
      <c r="N59" s="57" t="n"/>
      <c r="O59" s="58" t="n"/>
      <c r="P59" s="57" t="n"/>
      <c r="Q59" s="57" t="n"/>
      <c r="R59" s="57" t="n"/>
      <c r="S59" s="57" t="n"/>
      <c r="T59" s="57">
        <f>IFERROR(K59,"")</f>
        <v/>
      </c>
      <c r="U59" s="57">
        <f>IFERROR(E59+J59+K59-M59-N59-P59-Q59-R59,"")</f>
        <v/>
      </c>
      <c r="V59" s="57">
        <f>IFERROR(S59-U59,"")</f>
        <v/>
      </c>
      <c r="W59" s="57" t="n"/>
      <c r="X59" s="59">
        <f>IFERROR(L59/W59,"")</f>
        <v/>
      </c>
    </row>
    <row r="60" ht="15" customHeight="1" s="44">
      <c r="A60" s="48" t="n"/>
      <c r="B60" s="49" t="n"/>
      <c r="C60" s="50" t="n"/>
      <c r="D60" s="51" t="n"/>
      <c r="E60" s="51" t="n"/>
      <c r="F60" s="51">
        <f>IFERROR(E60-D60,"")</f>
        <v/>
      </c>
      <c r="G60" s="51" t="n"/>
      <c r="H60" s="51" t="n"/>
      <c r="I60" s="51">
        <f>IFERROR(G60+H60,"")</f>
        <v/>
      </c>
      <c r="J60" s="51" t="n"/>
      <c r="K60" s="51" t="n"/>
      <c r="L60" s="51">
        <f>IFERROR(I60+J60+K60,"")</f>
        <v/>
      </c>
      <c r="M60" s="51" t="n"/>
      <c r="N60" s="51" t="n"/>
      <c r="O60" s="52" t="n"/>
      <c r="P60" s="51" t="n"/>
      <c r="Q60" s="51" t="n"/>
      <c r="R60" s="51" t="n"/>
      <c r="S60" s="51" t="n"/>
      <c r="T60" s="51">
        <f>IFERROR(K60,"")</f>
        <v/>
      </c>
      <c r="U60" s="51">
        <f>IFERROR(E60+J60+K60-M60-N60-P60-Q60-R60,"")</f>
        <v/>
      </c>
      <c r="V60" s="51">
        <f>IFERROR(S60-U60,"")</f>
        <v/>
      </c>
      <c r="W60" s="51" t="n"/>
      <c r="X60" s="53">
        <f>IFERROR(L60/W60,"")</f>
        <v/>
      </c>
    </row>
    <row r="61" ht="15" customHeight="1" s="44">
      <c r="A61" s="54" t="n"/>
      <c r="B61" s="55" t="n"/>
      <c r="C61" s="56" t="n"/>
      <c r="D61" s="57" t="n"/>
      <c r="E61" s="57" t="n"/>
      <c r="F61" s="57">
        <f>IFERROR(E61-D61,"")</f>
        <v/>
      </c>
      <c r="G61" s="57" t="n"/>
      <c r="H61" s="57" t="n"/>
      <c r="I61" s="57">
        <f>IFERROR(G61+H61,"")</f>
        <v/>
      </c>
      <c r="J61" s="57" t="n"/>
      <c r="K61" s="57" t="n"/>
      <c r="L61" s="57">
        <f>IFERROR(I61+J61+K61,"")</f>
        <v/>
      </c>
      <c r="M61" s="57" t="n"/>
      <c r="N61" s="57" t="n"/>
      <c r="O61" s="58" t="n"/>
      <c r="P61" s="57" t="n"/>
      <c r="Q61" s="57" t="n"/>
      <c r="R61" s="57" t="n"/>
      <c r="S61" s="57" t="n"/>
      <c r="T61" s="57">
        <f>IFERROR(K61,"")</f>
        <v/>
      </c>
      <c r="U61" s="57">
        <f>IFERROR(E61+J61+K61-M61-N61-P61-Q61-R61,"")</f>
        <v/>
      </c>
      <c r="V61" s="57">
        <f>IFERROR(S61-U61,"")</f>
        <v/>
      </c>
      <c r="W61" s="57" t="n"/>
      <c r="X61" s="59">
        <f>IFERROR(L61/W61,"")</f>
        <v/>
      </c>
    </row>
    <row r="62" ht="15" customHeight="1" s="44">
      <c r="A62" s="48" t="n"/>
      <c r="B62" s="49" t="n"/>
      <c r="C62" s="50" t="n"/>
      <c r="D62" s="51" t="n"/>
      <c r="E62" s="51" t="n"/>
      <c r="F62" s="51">
        <f>IFERROR(E62-D62,"")</f>
        <v/>
      </c>
      <c r="G62" s="51" t="n"/>
      <c r="H62" s="51" t="n"/>
      <c r="I62" s="51">
        <f>IFERROR(G62+H62,"")</f>
        <v/>
      </c>
      <c r="J62" s="51" t="n"/>
      <c r="K62" s="51" t="n"/>
      <c r="L62" s="51">
        <f>IFERROR(I62+J62+K62,"")</f>
        <v/>
      </c>
      <c r="M62" s="51" t="n"/>
      <c r="N62" s="51" t="n"/>
      <c r="O62" s="52" t="n"/>
      <c r="P62" s="51" t="n"/>
      <c r="Q62" s="51" t="n"/>
      <c r="R62" s="51" t="n"/>
      <c r="S62" s="51" t="n"/>
      <c r="T62" s="51">
        <f>IFERROR(K62,"")</f>
        <v/>
      </c>
      <c r="U62" s="51">
        <f>IFERROR(E62+J62+K62-M62-N62-P62-Q62-R62,"")</f>
        <v/>
      </c>
      <c r="V62" s="51">
        <f>IFERROR(S62-U62,"")</f>
        <v/>
      </c>
      <c r="W62" s="51" t="n"/>
      <c r="X62" s="53">
        <f>IFERROR(L62/W62,"")</f>
        <v/>
      </c>
    </row>
    <row r="63" ht="15" customHeight="1" s="44">
      <c r="A63" s="54" t="n"/>
      <c r="B63" s="55" t="n"/>
      <c r="C63" s="56" t="n"/>
      <c r="D63" s="57" t="n"/>
      <c r="E63" s="57" t="n"/>
      <c r="F63" s="57">
        <f>IFERROR(E63-D63,"")</f>
        <v/>
      </c>
      <c r="G63" s="57" t="n"/>
      <c r="H63" s="57" t="n"/>
      <c r="I63" s="57">
        <f>IFERROR(G63+H63,"")</f>
        <v/>
      </c>
      <c r="J63" s="57" t="n"/>
      <c r="K63" s="57" t="n"/>
      <c r="L63" s="57">
        <f>IFERROR(I63+J63+K63,"")</f>
        <v/>
      </c>
      <c r="M63" s="57" t="n"/>
      <c r="N63" s="57" t="n"/>
      <c r="O63" s="58" t="n"/>
      <c r="P63" s="57" t="n"/>
      <c r="Q63" s="57" t="n"/>
      <c r="R63" s="57" t="n"/>
      <c r="S63" s="57" t="n"/>
      <c r="T63" s="57">
        <f>IFERROR(K63,"")</f>
        <v/>
      </c>
      <c r="U63" s="57">
        <f>IFERROR(E63+J63+K63-M63-N63-P63-Q63-R63,"")</f>
        <v/>
      </c>
      <c r="V63" s="57">
        <f>IFERROR(S63-U63,"")</f>
        <v/>
      </c>
      <c r="W63" s="57" t="n"/>
      <c r="X63" s="59">
        <f>IFERROR(L63/W63,"")</f>
        <v/>
      </c>
    </row>
    <row r="64" ht="15" customHeight="1" s="44">
      <c r="A64" s="48" t="n"/>
      <c r="B64" s="49" t="n"/>
      <c r="C64" s="50" t="n"/>
      <c r="D64" s="51" t="n"/>
      <c r="E64" s="51" t="n"/>
      <c r="F64" s="51">
        <f>IFERROR(E64-D64,"")</f>
        <v/>
      </c>
      <c r="G64" s="51" t="n"/>
      <c r="H64" s="51" t="n"/>
      <c r="I64" s="51">
        <f>IFERROR(G64+H64,"")</f>
        <v/>
      </c>
      <c r="J64" s="51" t="n"/>
      <c r="K64" s="51" t="n"/>
      <c r="L64" s="51">
        <f>IFERROR(I64+J64+K64,"")</f>
        <v/>
      </c>
      <c r="M64" s="51" t="n"/>
      <c r="N64" s="51" t="n"/>
      <c r="O64" s="52" t="n"/>
      <c r="P64" s="51" t="n"/>
      <c r="Q64" s="51" t="n"/>
      <c r="R64" s="51" t="n"/>
      <c r="S64" s="51" t="n"/>
      <c r="T64" s="51">
        <f>IFERROR(K64,"")</f>
        <v/>
      </c>
      <c r="U64" s="51">
        <f>IFERROR(E64+J64+K64-M64-N64-P64-Q64-R64,"")</f>
        <v/>
      </c>
      <c r="V64" s="51">
        <f>IFERROR(S64-U64,"")</f>
        <v/>
      </c>
      <c r="W64" s="51" t="n"/>
      <c r="X64" s="53">
        <f>IFERROR(L64/W64,"")</f>
        <v/>
      </c>
    </row>
    <row r="65" ht="15" customHeight="1" s="44">
      <c r="A65" s="54" t="n"/>
      <c r="B65" s="55" t="n"/>
      <c r="C65" s="56" t="n"/>
      <c r="D65" s="57" t="n"/>
      <c r="E65" s="57" t="n"/>
      <c r="F65" s="57">
        <f>IFERROR(E65-D65,"")</f>
        <v/>
      </c>
      <c r="G65" s="57" t="n"/>
      <c r="H65" s="57" t="n"/>
      <c r="I65" s="57">
        <f>IFERROR(G65+H65,"")</f>
        <v/>
      </c>
      <c r="J65" s="57" t="n"/>
      <c r="K65" s="57" t="n"/>
      <c r="L65" s="57">
        <f>IFERROR(I65+J65+K65,"")</f>
        <v/>
      </c>
      <c r="M65" s="57" t="n"/>
      <c r="N65" s="57" t="n"/>
      <c r="O65" s="58" t="n"/>
      <c r="P65" s="57" t="n"/>
      <c r="Q65" s="57" t="n"/>
      <c r="R65" s="57" t="n"/>
      <c r="S65" s="57" t="n"/>
      <c r="T65" s="57">
        <f>IFERROR(K65,"")</f>
        <v/>
      </c>
      <c r="U65" s="57">
        <f>IFERROR(E65+J65+K65-M65-N65-P65-Q65-R65,"")</f>
        <v/>
      </c>
      <c r="V65" s="57">
        <f>IFERROR(S65-U65,"")</f>
        <v/>
      </c>
      <c r="W65" s="57" t="n"/>
      <c r="X65" s="59">
        <f>IFERROR(L65/W65,"")</f>
        <v/>
      </c>
    </row>
    <row r="66" ht="15" customHeight="1" s="44">
      <c r="A66" s="48" t="n"/>
      <c r="B66" s="49" t="n"/>
      <c r="C66" s="50" t="n"/>
      <c r="D66" s="51" t="n"/>
      <c r="E66" s="51" t="n"/>
      <c r="F66" s="51">
        <f>IFERROR(E66-D66,"")</f>
        <v/>
      </c>
      <c r="G66" s="51" t="n"/>
      <c r="H66" s="51" t="n"/>
      <c r="I66" s="51">
        <f>IFERROR(G66+H66,"")</f>
        <v/>
      </c>
      <c r="J66" s="51" t="n"/>
      <c r="K66" s="51" t="n"/>
      <c r="L66" s="51">
        <f>IFERROR(I66+J66+K66,"")</f>
        <v/>
      </c>
      <c r="M66" s="51" t="n"/>
      <c r="N66" s="51" t="n"/>
      <c r="O66" s="52" t="n"/>
      <c r="P66" s="51" t="n"/>
      <c r="Q66" s="51" t="n"/>
      <c r="R66" s="51" t="n"/>
      <c r="S66" s="51" t="n"/>
      <c r="T66" s="51">
        <f>IFERROR(K66,"")</f>
        <v/>
      </c>
      <c r="U66" s="51">
        <f>IFERROR(E66+J66+K66-M66-N66-P66-Q66-R66,"")</f>
        <v/>
      </c>
      <c r="V66" s="51">
        <f>IFERROR(S66-U66,"")</f>
        <v/>
      </c>
      <c r="W66" s="51" t="n"/>
      <c r="X66" s="53">
        <f>IFERROR(L66/W66,"")</f>
        <v/>
      </c>
    </row>
    <row r="67" ht="15" customHeight="1" s="44">
      <c r="A67" s="54" t="n"/>
      <c r="B67" s="55" t="n"/>
      <c r="C67" s="56" t="n"/>
      <c r="D67" s="57" t="n"/>
      <c r="E67" s="57" t="n"/>
      <c r="F67" s="57">
        <f>IFERROR(E67-D67,"")</f>
        <v/>
      </c>
      <c r="G67" s="57" t="n"/>
      <c r="H67" s="57" t="n"/>
      <c r="I67" s="57">
        <f>IFERROR(G67+H67,"")</f>
        <v/>
      </c>
      <c r="J67" s="57" t="n"/>
      <c r="K67" s="57" t="n"/>
      <c r="L67" s="57">
        <f>IFERROR(I67+J67+K67,"")</f>
        <v/>
      </c>
      <c r="M67" s="57" t="n"/>
      <c r="N67" s="57" t="n"/>
      <c r="O67" s="58" t="n"/>
      <c r="P67" s="57" t="n"/>
      <c r="Q67" s="57" t="n"/>
      <c r="R67" s="57" t="n"/>
      <c r="S67" s="57" t="n"/>
      <c r="T67" s="57">
        <f>IFERROR(K67,"")</f>
        <v/>
      </c>
      <c r="U67" s="57">
        <f>IFERROR(E67+J67+K67-M67-N67-P67-Q67-R67,"")</f>
        <v/>
      </c>
      <c r="V67" s="57">
        <f>IFERROR(S67-U67,"")</f>
        <v/>
      </c>
      <c r="W67" s="57" t="n"/>
      <c r="X67" s="59">
        <f>IFERROR(L67/W67,"")</f>
        <v/>
      </c>
    </row>
    <row r="68" ht="15" customHeight="1" s="44">
      <c r="A68" s="48" t="n"/>
      <c r="B68" s="49" t="n"/>
      <c r="C68" s="50" t="n"/>
      <c r="D68" s="51" t="n"/>
      <c r="E68" s="51" t="n"/>
      <c r="F68" s="51">
        <f>IFERROR(E68-D68,"")</f>
        <v/>
      </c>
      <c r="G68" s="51" t="n"/>
      <c r="H68" s="51" t="n"/>
      <c r="I68" s="51">
        <f>IFERROR(G68+H68,"")</f>
        <v/>
      </c>
      <c r="J68" s="51" t="n"/>
      <c r="K68" s="51" t="n"/>
      <c r="L68" s="51">
        <f>IFERROR(I68+J68+K68,"")</f>
        <v/>
      </c>
      <c r="M68" s="51" t="n"/>
      <c r="N68" s="51" t="n"/>
      <c r="O68" s="52" t="n"/>
      <c r="P68" s="51" t="n"/>
      <c r="Q68" s="51" t="n"/>
      <c r="R68" s="51" t="n"/>
      <c r="S68" s="51" t="n"/>
      <c r="T68" s="51">
        <f>IFERROR(K68,"")</f>
        <v/>
      </c>
      <c r="U68" s="51">
        <f>IFERROR(E68+J68+K68-M68-N68-P68-Q68-R68,"")</f>
        <v/>
      </c>
      <c r="V68" s="51">
        <f>IFERROR(S68-U68,"")</f>
        <v/>
      </c>
      <c r="W68" s="51" t="n"/>
      <c r="X68" s="53">
        <f>IFERROR(L68/W68,"")</f>
        <v/>
      </c>
    </row>
    <row r="69" ht="15" customHeight="1" s="44">
      <c r="A69" s="54" t="n"/>
      <c r="B69" s="55" t="n"/>
      <c r="C69" s="56" t="n"/>
      <c r="D69" s="57" t="n"/>
      <c r="E69" s="57" t="n"/>
      <c r="F69" s="57">
        <f>IFERROR(E69-D69,"")</f>
        <v/>
      </c>
      <c r="G69" s="57" t="n"/>
      <c r="H69" s="57" t="n"/>
      <c r="I69" s="57">
        <f>IFERROR(G69+H69,"")</f>
        <v/>
      </c>
      <c r="J69" s="57" t="n"/>
      <c r="K69" s="57" t="n"/>
      <c r="L69" s="57">
        <f>IFERROR(I69+J69+K69,"")</f>
        <v/>
      </c>
      <c r="M69" s="57" t="n"/>
      <c r="N69" s="57" t="n"/>
      <c r="O69" s="58" t="n"/>
      <c r="P69" s="57" t="n"/>
      <c r="Q69" s="57" t="n"/>
      <c r="R69" s="57" t="n"/>
      <c r="S69" s="57" t="n"/>
      <c r="T69" s="57">
        <f>IFERROR(K69,"")</f>
        <v/>
      </c>
      <c r="U69" s="57">
        <f>IFERROR(E69+J69+K69-M69-N69-P69-Q69-R69,"")</f>
        <v/>
      </c>
      <c r="V69" s="57">
        <f>IFERROR(S69-U69,"")</f>
        <v/>
      </c>
      <c r="W69" s="57" t="n"/>
      <c r="X69" s="59">
        <f>IFERROR(L69/W69,"")</f>
        <v/>
      </c>
    </row>
    <row r="70" ht="15" customHeight="1" s="44">
      <c r="A70" s="48" t="n"/>
      <c r="B70" s="49" t="n"/>
      <c r="C70" s="50" t="n"/>
      <c r="D70" s="51" t="n"/>
      <c r="E70" s="51" t="n"/>
      <c r="F70" s="51">
        <f>IFERROR(E70-D70,"")</f>
        <v/>
      </c>
      <c r="G70" s="51" t="n"/>
      <c r="H70" s="51" t="n"/>
      <c r="I70" s="51">
        <f>IFERROR(G70+H70,"")</f>
        <v/>
      </c>
      <c r="J70" s="51" t="n"/>
      <c r="K70" s="51" t="n"/>
      <c r="L70" s="51">
        <f>IFERROR(I70+J70+K70,"")</f>
        <v/>
      </c>
      <c r="M70" s="51" t="n"/>
      <c r="N70" s="51" t="n"/>
      <c r="O70" s="52" t="n"/>
      <c r="P70" s="51" t="n"/>
      <c r="Q70" s="51" t="n"/>
      <c r="R70" s="51" t="n"/>
      <c r="S70" s="51" t="n"/>
      <c r="T70" s="51">
        <f>IFERROR(K70,"")</f>
        <v/>
      </c>
      <c r="U70" s="51">
        <f>IFERROR(E70+J70+K70-M70-N70-P70-Q70-R70,"")</f>
        <v/>
      </c>
      <c r="V70" s="51">
        <f>IFERROR(S70-U70,"")</f>
        <v/>
      </c>
      <c r="W70" s="51" t="n"/>
      <c r="X70" s="53">
        <f>IFERROR(L70/W70,"")</f>
        <v/>
      </c>
    </row>
    <row r="71" ht="15" customHeight="1" s="44">
      <c r="A71" s="54" t="n"/>
      <c r="B71" s="55" t="n"/>
      <c r="C71" s="56" t="n"/>
      <c r="D71" s="57" t="n"/>
      <c r="E71" s="57" t="n"/>
      <c r="F71" s="57">
        <f>IFERROR(E71-D71,"")</f>
        <v/>
      </c>
      <c r="G71" s="57" t="n"/>
      <c r="H71" s="57" t="n"/>
      <c r="I71" s="57">
        <f>IFERROR(G71+H71,"")</f>
        <v/>
      </c>
      <c r="J71" s="57" t="n"/>
      <c r="K71" s="57" t="n"/>
      <c r="L71" s="57">
        <f>IFERROR(I71+J71+K71,"")</f>
        <v/>
      </c>
      <c r="M71" s="57" t="n"/>
      <c r="N71" s="57" t="n"/>
      <c r="O71" s="58" t="n"/>
      <c r="P71" s="57" t="n"/>
      <c r="Q71" s="57" t="n"/>
      <c r="R71" s="57" t="n"/>
      <c r="S71" s="57" t="n"/>
      <c r="T71" s="57">
        <f>IFERROR(K71,"")</f>
        <v/>
      </c>
      <c r="U71" s="57">
        <f>IFERROR(E71+J71+K71-M71-N71-P71-Q71-R71,"")</f>
        <v/>
      </c>
      <c r="V71" s="57">
        <f>IFERROR(S71-U71,"")</f>
        <v/>
      </c>
      <c r="W71" s="57" t="n"/>
      <c r="X71" s="59">
        <f>IFERROR(L71/W71,"")</f>
        <v/>
      </c>
    </row>
    <row r="72" ht="15" customHeight="1" s="44">
      <c r="A72" s="48" t="n"/>
      <c r="B72" s="49" t="n"/>
      <c r="C72" s="50" t="n"/>
      <c r="D72" s="51" t="n"/>
      <c r="E72" s="51" t="n"/>
      <c r="F72" s="51">
        <f>IFERROR(E72-D72,"")</f>
        <v/>
      </c>
      <c r="G72" s="51" t="n"/>
      <c r="H72" s="51" t="n"/>
      <c r="I72" s="51">
        <f>IFERROR(G72+H72,"")</f>
        <v/>
      </c>
      <c r="J72" s="51" t="n"/>
      <c r="K72" s="51" t="n"/>
      <c r="L72" s="51">
        <f>IFERROR(I72+J72+K72,"")</f>
        <v/>
      </c>
      <c r="M72" s="51" t="n"/>
      <c r="N72" s="51" t="n"/>
      <c r="O72" s="52" t="n"/>
      <c r="P72" s="51" t="n"/>
      <c r="Q72" s="51" t="n"/>
      <c r="R72" s="51" t="n"/>
      <c r="S72" s="51" t="n"/>
      <c r="T72" s="51">
        <f>IFERROR(K72,"")</f>
        <v/>
      </c>
      <c r="U72" s="51">
        <f>IFERROR(E72+J72+K72-M72-N72-P72-Q72-R72,"")</f>
        <v/>
      </c>
      <c r="V72" s="51">
        <f>IFERROR(S72-U72,"")</f>
        <v/>
      </c>
      <c r="W72" s="51" t="n"/>
      <c r="X72" s="53">
        <f>IFERROR(L72/W72,"")</f>
        <v/>
      </c>
    </row>
    <row r="73" ht="15" customHeight="1" s="44">
      <c r="A73" s="54" t="n"/>
      <c r="B73" s="55" t="n"/>
      <c r="C73" s="56" t="n"/>
      <c r="D73" s="57" t="n"/>
      <c r="E73" s="57" t="n"/>
      <c r="F73" s="57">
        <f>IFERROR(E73-D73,"")</f>
        <v/>
      </c>
      <c r="G73" s="57" t="n"/>
      <c r="H73" s="57" t="n"/>
      <c r="I73" s="57">
        <f>IFERROR(G73+H73,"")</f>
        <v/>
      </c>
      <c r="J73" s="57" t="n"/>
      <c r="K73" s="57" t="n"/>
      <c r="L73" s="57">
        <f>IFERROR(I73+J73+K73,"")</f>
        <v/>
      </c>
      <c r="M73" s="57" t="n"/>
      <c r="N73" s="57" t="n"/>
      <c r="O73" s="58" t="n"/>
      <c r="P73" s="57" t="n"/>
      <c r="Q73" s="57" t="n"/>
      <c r="R73" s="57" t="n"/>
      <c r="S73" s="57" t="n"/>
      <c r="T73" s="57">
        <f>IFERROR(K73,"")</f>
        <v/>
      </c>
      <c r="U73" s="57">
        <f>IFERROR(E73+J73+K73-M73-N73-P73-Q73-R73,"")</f>
        <v/>
      </c>
      <c r="V73" s="57">
        <f>IFERROR(S73-U73,"")</f>
        <v/>
      </c>
      <c r="W73" s="57" t="n"/>
      <c r="X73" s="59">
        <f>IFERROR(L73/W73,"")</f>
        <v/>
      </c>
    </row>
    <row r="74" ht="15" customHeight="1" s="44">
      <c r="A74" s="48" t="n"/>
      <c r="B74" s="49" t="n"/>
      <c r="C74" s="50" t="n"/>
      <c r="D74" s="51" t="n"/>
      <c r="E74" s="51" t="n"/>
      <c r="F74" s="51">
        <f>IFERROR(E74-D74,"")</f>
        <v/>
      </c>
      <c r="G74" s="51" t="n"/>
      <c r="H74" s="51" t="n"/>
      <c r="I74" s="51">
        <f>IFERROR(G74+H74,"")</f>
        <v/>
      </c>
      <c r="J74" s="51" t="n"/>
      <c r="K74" s="51" t="n"/>
      <c r="L74" s="51">
        <f>IFERROR(I74+J74+K74,"")</f>
        <v/>
      </c>
      <c r="M74" s="51" t="n"/>
      <c r="N74" s="51" t="n"/>
      <c r="O74" s="52" t="n"/>
      <c r="P74" s="51" t="n"/>
      <c r="Q74" s="51" t="n"/>
      <c r="R74" s="51" t="n"/>
      <c r="S74" s="51" t="n"/>
      <c r="T74" s="51">
        <f>IFERROR(K74,"")</f>
        <v/>
      </c>
      <c r="U74" s="51">
        <f>IFERROR(E74+J74+K74-M74-N74-P74-Q74-R74,"")</f>
        <v/>
      </c>
      <c r="V74" s="51">
        <f>IFERROR(S74-U74,"")</f>
        <v/>
      </c>
      <c r="W74" s="51" t="n"/>
      <c r="X74" s="53">
        <f>IFERROR(L74/W74,"")</f>
        <v/>
      </c>
    </row>
    <row r="75" ht="15" customHeight="1" s="44">
      <c r="A75" s="54" t="n"/>
      <c r="B75" s="55" t="n"/>
      <c r="C75" s="56" t="n"/>
      <c r="D75" s="57" t="n"/>
      <c r="E75" s="57" t="n"/>
      <c r="F75" s="57">
        <f>IFERROR(E75-D75,"")</f>
        <v/>
      </c>
      <c r="G75" s="57" t="n"/>
      <c r="H75" s="57" t="n"/>
      <c r="I75" s="57">
        <f>IFERROR(G75+H75,"")</f>
        <v/>
      </c>
      <c r="J75" s="57" t="n"/>
      <c r="K75" s="57" t="n"/>
      <c r="L75" s="57">
        <f>IFERROR(I75+J75+K75,"")</f>
        <v/>
      </c>
      <c r="M75" s="57" t="n"/>
      <c r="N75" s="57" t="n"/>
      <c r="O75" s="58" t="n"/>
      <c r="P75" s="57" t="n"/>
      <c r="Q75" s="57" t="n"/>
      <c r="R75" s="57" t="n"/>
      <c r="S75" s="57" t="n"/>
      <c r="T75" s="57">
        <f>IFERROR(K75,"")</f>
        <v/>
      </c>
      <c r="U75" s="57">
        <f>IFERROR(E75+J75+K75-M75-N75-P75-Q75-R75,"")</f>
        <v/>
      </c>
      <c r="V75" s="57">
        <f>IFERROR(S75-U75,"")</f>
        <v/>
      </c>
      <c r="W75" s="57" t="n"/>
      <c r="X75" s="59">
        <f>IFERROR(L75/W75,"")</f>
        <v/>
      </c>
    </row>
    <row r="76" ht="15" customHeight="1" s="44">
      <c r="A76" s="48" t="n"/>
      <c r="B76" s="49" t="n"/>
      <c r="C76" s="50" t="n"/>
      <c r="D76" s="51" t="n"/>
      <c r="E76" s="51" t="n"/>
      <c r="F76" s="51">
        <f>IFERROR(E76-D76,"")</f>
        <v/>
      </c>
      <c r="G76" s="51" t="n"/>
      <c r="H76" s="51" t="n"/>
      <c r="I76" s="51">
        <f>IFERROR(G76+H76,"")</f>
        <v/>
      </c>
      <c r="J76" s="51" t="n"/>
      <c r="K76" s="51" t="n"/>
      <c r="L76" s="51">
        <f>IFERROR(I76+J76+K76,"")</f>
        <v/>
      </c>
      <c r="M76" s="51" t="n"/>
      <c r="N76" s="51" t="n"/>
      <c r="O76" s="52" t="n"/>
      <c r="P76" s="51" t="n"/>
      <c r="Q76" s="51" t="n"/>
      <c r="R76" s="51" t="n"/>
      <c r="S76" s="51" t="n"/>
      <c r="T76" s="51">
        <f>IFERROR(K76,"")</f>
        <v/>
      </c>
      <c r="U76" s="51">
        <f>IFERROR(E76+J76+K76-M76-N76-P76-Q76-R76,"")</f>
        <v/>
      </c>
      <c r="V76" s="51">
        <f>IFERROR(S76-U76,"")</f>
        <v/>
      </c>
      <c r="W76" s="51" t="n"/>
      <c r="X76" s="53">
        <f>IFERROR(L76/W76,"")</f>
        <v/>
      </c>
    </row>
    <row r="77" ht="15" customHeight="1" s="44">
      <c r="A77" s="54" t="n"/>
      <c r="B77" s="55" t="n"/>
      <c r="C77" s="56" t="n"/>
      <c r="D77" s="57" t="n"/>
      <c r="E77" s="57" t="n"/>
      <c r="F77" s="57">
        <f>IFERROR(E77-D77,"")</f>
        <v/>
      </c>
      <c r="G77" s="57" t="n"/>
      <c r="H77" s="57" t="n"/>
      <c r="I77" s="57">
        <f>IFERROR(G77+H77,"")</f>
        <v/>
      </c>
      <c r="J77" s="57" t="n"/>
      <c r="K77" s="57" t="n"/>
      <c r="L77" s="57">
        <f>IFERROR(I77+J77+K77,"")</f>
        <v/>
      </c>
      <c r="M77" s="57" t="n"/>
      <c r="N77" s="57" t="n"/>
      <c r="O77" s="58" t="n"/>
      <c r="P77" s="57" t="n"/>
      <c r="Q77" s="57" t="n"/>
      <c r="R77" s="57" t="n"/>
      <c r="S77" s="57" t="n"/>
      <c r="T77" s="57">
        <f>IFERROR(K77,"")</f>
        <v/>
      </c>
      <c r="U77" s="57">
        <f>IFERROR(E77+J77+K77-M77-N77-P77-Q77-R77,"")</f>
        <v/>
      </c>
      <c r="V77" s="57">
        <f>IFERROR(S77-U77,"")</f>
        <v/>
      </c>
      <c r="W77" s="57" t="n"/>
      <c r="X77" s="59">
        <f>IFERROR(L77/W77,"")</f>
        <v/>
      </c>
    </row>
    <row r="78" ht="15" customHeight="1" s="44">
      <c r="A78" s="48" t="n"/>
      <c r="B78" s="49" t="n"/>
      <c r="C78" s="50" t="n"/>
      <c r="D78" s="51" t="n"/>
      <c r="E78" s="51" t="n"/>
      <c r="F78" s="51">
        <f>IFERROR(E78-D78,"")</f>
        <v/>
      </c>
      <c r="G78" s="51" t="n"/>
      <c r="H78" s="51" t="n"/>
      <c r="I78" s="51">
        <f>IFERROR(G78+H78,"")</f>
        <v/>
      </c>
      <c r="J78" s="51" t="n"/>
      <c r="K78" s="51" t="n"/>
      <c r="L78" s="51">
        <f>IFERROR(I78+J78+K78,"")</f>
        <v/>
      </c>
      <c r="M78" s="51" t="n"/>
      <c r="N78" s="51" t="n"/>
      <c r="O78" s="52" t="n"/>
      <c r="P78" s="51" t="n"/>
      <c r="Q78" s="51" t="n"/>
      <c r="R78" s="51" t="n"/>
      <c r="S78" s="51" t="n"/>
      <c r="T78" s="51">
        <f>IFERROR(K78,"")</f>
        <v/>
      </c>
      <c r="U78" s="51">
        <f>IFERROR(E78+J78+K78-M78-N78-P78-Q78-R78,"")</f>
        <v/>
      </c>
      <c r="V78" s="51">
        <f>IFERROR(S78-U78,"")</f>
        <v/>
      </c>
      <c r="W78" s="51" t="n"/>
      <c r="X78" s="53">
        <f>IFERROR(L78/W78,"")</f>
        <v/>
      </c>
    </row>
    <row r="79" ht="15" customHeight="1" s="44">
      <c r="A79" s="54" t="n"/>
      <c r="B79" s="55" t="n"/>
      <c r="C79" s="56" t="n"/>
      <c r="D79" s="57" t="n"/>
      <c r="E79" s="57" t="n"/>
      <c r="F79" s="57">
        <f>IFERROR(E79-D79,"")</f>
        <v/>
      </c>
      <c r="G79" s="57" t="n"/>
      <c r="H79" s="57" t="n"/>
      <c r="I79" s="57">
        <f>IFERROR(G79+H79,"")</f>
        <v/>
      </c>
      <c r="J79" s="57" t="n"/>
      <c r="K79" s="57" t="n"/>
      <c r="L79" s="57">
        <f>IFERROR(I79+J79+K79,"")</f>
        <v/>
      </c>
      <c r="M79" s="57" t="n"/>
      <c r="N79" s="57" t="n"/>
      <c r="O79" s="58" t="n"/>
      <c r="P79" s="57" t="n"/>
      <c r="Q79" s="57" t="n"/>
      <c r="R79" s="57" t="n"/>
      <c r="S79" s="57" t="n"/>
      <c r="T79" s="57">
        <f>IFERROR(K79,"")</f>
        <v/>
      </c>
      <c r="U79" s="57">
        <f>IFERROR(E79+J79+K79-M79-N79-P79-Q79-R79,"")</f>
        <v/>
      </c>
      <c r="V79" s="57">
        <f>IFERROR(S79-U79,"")</f>
        <v/>
      </c>
      <c r="W79" s="57" t="n"/>
      <c r="X79" s="59">
        <f>IFERROR(L79/W79,"")</f>
        <v/>
      </c>
    </row>
    <row r="80" ht="15" customHeight="1" s="44">
      <c r="A80" s="48" t="n"/>
      <c r="B80" s="49" t="n"/>
      <c r="C80" s="50" t="n"/>
      <c r="D80" s="51" t="n"/>
      <c r="E80" s="51" t="n"/>
      <c r="F80" s="51">
        <f>IFERROR(E80-D80,"")</f>
        <v/>
      </c>
      <c r="G80" s="51" t="n"/>
      <c r="H80" s="51" t="n"/>
      <c r="I80" s="51">
        <f>IFERROR(G80+H80,"")</f>
        <v/>
      </c>
      <c r="J80" s="51" t="n"/>
      <c r="K80" s="51" t="n"/>
      <c r="L80" s="51">
        <f>IFERROR(I80+J80+K80,"")</f>
        <v/>
      </c>
      <c r="M80" s="51" t="n"/>
      <c r="N80" s="51" t="n"/>
      <c r="O80" s="52" t="n"/>
      <c r="P80" s="51" t="n"/>
      <c r="Q80" s="51" t="n"/>
      <c r="R80" s="51" t="n"/>
      <c r="S80" s="51" t="n"/>
      <c r="T80" s="51">
        <f>IFERROR(K80,"")</f>
        <v/>
      </c>
      <c r="U80" s="51">
        <f>IFERROR(E80+J80+K80-M80-N80-P80-Q80-R80,"")</f>
        <v/>
      </c>
      <c r="V80" s="51">
        <f>IFERROR(S80-U80,"")</f>
        <v/>
      </c>
      <c r="W80" s="51" t="n"/>
      <c r="X80" s="53">
        <f>IFERROR(L80/W80,"")</f>
        <v/>
      </c>
    </row>
    <row r="81" ht="15" customHeight="1" s="44">
      <c r="A81" s="54" t="n"/>
      <c r="B81" s="55" t="n"/>
      <c r="C81" s="56" t="n"/>
      <c r="D81" s="57" t="n"/>
      <c r="E81" s="57" t="n"/>
      <c r="F81" s="57">
        <f>IFERROR(E81-D81,"")</f>
        <v/>
      </c>
      <c r="G81" s="57" t="n"/>
      <c r="H81" s="57" t="n"/>
      <c r="I81" s="57">
        <f>IFERROR(G81+H81,"")</f>
        <v/>
      </c>
      <c r="J81" s="57" t="n"/>
      <c r="K81" s="57" t="n"/>
      <c r="L81" s="57">
        <f>IFERROR(I81+J81+K81,"")</f>
        <v/>
      </c>
      <c r="M81" s="57" t="n"/>
      <c r="N81" s="57" t="n"/>
      <c r="O81" s="58" t="n"/>
      <c r="P81" s="57" t="n"/>
      <c r="Q81" s="57" t="n"/>
      <c r="R81" s="57" t="n"/>
      <c r="S81" s="57" t="n"/>
      <c r="T81" s="57">
        <f>IFERROR(K81,"")</f>
        <v/>
      </c>
      <c r="U81" s="57">
        <f>IFERROR(E81+J81+K81-M81-N81-P81-Q81-R81,"")</f>
        <v/>
      </c>
      <c r="V81" s="57">
        <f>IFERROR(S81-U81,"")</f>
        <v/>
      </c>
      <c r="W81" s="57" t="n"/>
      <c r="X81" s="59">
        <f>IFERROR(L81/W81,"")</f>
        <v/>
      </c>
    </row>
    <row r="82" ht="15" customHeight="1" s="44">
      <c r="A82" s="48" t="n"/>
      <c r="B82" s="49" t="n"/>
      <c r="C82" s="50" t="n"/>
      <c r="D82" s="51" t="n"/>
      <c r="E82" s="51" t="n"/>
      <c r="F82" s="51">
        <f>IFERROR(E82-D82,"")</f>
        <v/>
      </c>
      <c r="G82" s="51" t="n"/>
      <c r="H82" s="51" t="n"/>
      <c r="I82" s="51">
        <f>IFERROR(G82+H82,"")</f>
        <v/>
      </c>
      <c r="J82" s="51" t="n"/>
      <c r="K82" s="51" t="n"/>
      <c r="L82" s="51">
        <f>IFERROR(I82+J82+K82,"")</f>
        <v/>
      </c>
      <c r="M82" s="51" t="n"/>
      <c r="N82" s="51" t="n"/>
      <c r="O82" s="52" t="n"/>
      <c r="P82" s="51" t="n"/>
      <c r="Q82" s="51" t="n"/>
      <c r="R82" s="51" t="n"/>
      <c r="S82" s="51" t="n"/>
      <c r="T82" s="51">
        <f>IFERROR(K82,"")</f>
        <v/>
      </c>
      <c r="U82" s="51">
        <f>IFERROR(E82+J82+K82-M82-N82-P82-Q82-R82,"")</f>
        <v/>
      </c>
      <c r="V82" s="51">
        <f>IFERROR(S82-U82,"")</f>
        <v/>
      </c>
      <c r="W82" s="51" t="n"/>
      <c r="X82" s="53">
        <f>IFERROR(L82/W82,"")</f>
        <v/>
      </c>
    </row>
    <row r="83" ht="15" customHeight="1" s="44">
      <c r="A83" s="54" t="n"/>
      <c r="B83" s="55" t="n"/>
      <c r="C83" s="56" t="n"/>
      <c r="D83" s="57" t="n"/>
      <c r="E83" s="57" t="n"/>
      <c r="F83" s="57">
        <f>IFERROR(E83-D83,"")</f>
        <v/>
      </c>
      <c r="G83" s="57" t="n"/>
      <c r="H83" s="57" t="n"/>
      <c r="I83" s="57">
        <f>IFERROR(G83+H83,"")</f>
        <v/>
      </c>
      <c r="J83" s="57" t="n"/>
      <c r="K83" s="57" t="n"/>
      <c r="L83" s="57">
        <f>IFERROR(I83+J83+K83,"")</f>
        <v/>
      </c>
      <c r="M83" s="57" t="n"/>
      <c r="N83" s="57" t="n"/>
      <c r="O83" s="58" t="n"/>
      <c r="P83" s="57" t="n"/>
      <c r="Q83" s="57" t="n"/>
      <c r="R83" s="57" t="n"/>
      <c r="S83" s="57" t="n"/>
      <c r="T83" s="57">
        <f>IFERROR(K83,"")</f>
        <v/>
      </c>
      <c r="U83" s="57">
        <f>IFERROR(E83+J83+K83-M83-N83-P83-Q83-R83,"")</f>
        <v/>
      </c>
      <c r="V83" s="57">
        <f>IFERROR(S83-U83,"")</f>
        <v/>
      </c>
      <c r="W83" s="57" t="n"/>
      <c r="X83" s="59">
        <f>IFERROR(L83/W83,"")</f>
        <v/>
      </c>
    </row>
    <row r="84" ht="15" customHeight="1" s="44">
      <c r="A84" s="48" t="n"/>
      <c r="B84" s="49" t="n"/>
      <c r="C84" s="50" t="n"/>
      <c r="D84" s="51" t="n"/>
      <c r="E84" s="51" t="n"/>
      <c r="F84" s="51">
        <f>IFERROR(E84-D84,"")</f>
        <v/>
      </c>
      <c r="G84" s="51" t="n"/>
      <c r="H84" s="51" t="n"/>
      <c r="I84" s="51">
        <f>IFERROR(G84+H84,"")</f>
        <v/>
      </c>
      <c r="J84" s="51" t="n"/>
      <c r="K84" s="51" t="n"/>
      <c r="L84" s="51">
        <f>IFERROR(I84+J84+K84,"")</f>
        <v/>
      </c>
      <c r="M84" s="51" t="n"/>
      <c r="N84" s="51" t="n"/>
      <c r="O84" s="52" t="n"/>
      <c r="P84" s="51" t="n"/>
      <c r="Q84" s="51" t="n"/>
      <c r="R84" s="51" t="n"/>
      <c r="S84" s="51" t="n"/>
      <c r="T84" s="51">
        <f>IFERROR(K84,"")</f>
        <v/>
      </c>
      <c r="U84" s="51">
        <f>IFERROR(E84+J84+K84-M84-N84-P84-Q84-R84,"")</f>
        <v/>
      </c>
      <c r="V84" s="51">
        <f>IFERROR(S84-U84,"")</f>
        <v/>
      </c>
      <c r="W84" s="51" t="n"/>
      <c r="X84" s="53">
        <f>IFERROR(L84/W84,"")</f>
        <v/>
      </c>
    </row>
    <row r="85" ht="15" customHeight="1" s="44">
      <c r="A85" s="54" t="n"/>
      <c r="B85" s="55" t="n"/>
      <c r="C85" s="56" t="n"/>
      <c r="D85" s="57" t="n"/>
      <c r="E85" s="57" t="n"/>
      <c r="F85" s="57">
        <f>IFERROR(E85-D85,"")</f>
        <v/>
      </c>
      <c r="G85" s="57" t="n"/>
      <c r="H85" s="57" t="n"/>
      <c r="I85" s="57">
        <f>IFERROR(G85+H85,"")</f>
        <v/>
      </c>
      <c r="J85" s="57" t="n"/>
      <c r="K85" s="57" t="n"/>
      <c r="L85" s="57">
        <f>IFERROR(I85+J85+K85,"")</f>
        <v/>
      </c>
      <c r="M85" s="57" t="n"/>
      <c r="N85" s="57" t="n"/>
      <c r="O85" s="58" t="n"/>
      <c r="P85" s="57" t="n"/>
      <c r="Q85" s="57" t="n"/>
      <c r="R85" s="57" t="n"/>
      <c r="S85" s="57" t="n"/>
      <c r="T85" s="57">
        <f>IFERROR(K85,"")</f>
        <v/>
      </c>
      <c r="U85" s="57">
        <f>IFERROR(E85+J85+K85-M85-N85-P85-Q85-R85,"")</f>
        <v/>
      </c>
      <c r="V85" s="57">
        <f>IFERROR(S85-U85,"")</f>
        <v/>
      </c>
      <c r="W85" s="57" t="n"/>
      <c r="X85" s="59">
        <f>IFERROR(L85/W85,"")</f>
        <v/>
      </c>
    </row>
    <row r="86" ht="15" customHeight="1" s="44">
      <c r="A86" s="48" t="n"/>
      <c r="B86" s="49" t="n"/>
      <c r="C86" s="50" t="n"/>
      <c r="D86" s="51" t="n"/>
      <c r="E86" s="51" t="n"/>
      <c r="F86" s="51">
        <f>IFERROR(E86-D86,"")</f>
        <v/>
      </c>
      <c r="G86" s="51" t="n"/>
      <c r="H86" s="51" t="n"/>
      <c r="I86" s="51">
        <f>IFERROR(G86+H86,"")</f>
        <v/>
      </c>
      <c r="J86" s="51" t="n"/>
      <c r="K86" s="51" t="n"/>
      <c r="L86" s="51">
        <f>IFERROR(I86+J86+K86,"")</f>
        <v/>
      </c>
      <c r="M86" s="51" t="n"/>
      <c r="N86" s="51" t="n"/>
      <c r="O86" s="52" t="n"/>
      <c r="P86" s="51" t="n"/>
      <c r="Q86" s="51" t="n"/>
      <c r="R86" s="51" t="n"/>
      <c r="S86" s="51" t="n"/>
      <c r="T86" s="51">
        <f>IFERROR(K86,"")</f>
        <v/>
      </c>
      <c r="U86" s="51">
        <f>IFERROR(E86+J86+K86-M86-N86-P86-Q86-R86,"")</f>
        <v/>
      </c>
      <c r="V86" s="51">
        <f>IFERROR(S86-U86,"")</f>
        <v/>
      </c>
      <c r="W86" s="51" t="n"/>
      <c r="X86" s="53">
        <f>IFERROR(L86/W86,"")</f>
        <v/>
      </c>
    </row>
    <row r="87" ht="15" customHeight="1" s="44">
      <c r="A87" s="54" t="n"/>
      <c r="B87" s="55" t="n"/>
      <c r="C87" s="56" t="n"/>
      <c r="D87" s="57" t="n"/>
      <c r="E87" s="57" t="n"/>
      <c r="F87" s="57">
        <f>IFERROR(E87-D87,"")</f>
        <v/>
      </c>
      <c r="G87" s="57" t="n"/>
      <c r="H87" s="57" t="n"/>
      <c r="I87" s="57">
        <f>IFERROR(G87+H87,"")</f>
        <v/>
      </c>
      <c r="J87" s="57" t="n"/>
      <c r="K87" s="57" t="n"/>
      <c r="L87" s="57">
        <f>IFERROR(I87+J87+K87,"")</f>
        <v/>
      </c>
      <c r="M87" s="57" t="n"/>
      <c r="N87" s="57" t="n"/>
      <c r="O87" s="58" t="n"/>
      <c r="P87" s="57" t="n"/>
      <c r="Q87" s="57" t="n"/>
      <c r="R87" s="57" t="n"/>
      <c r="S87" s="57" t="n"/>
      <c r="T87" s="57">
        <f>IFERROR(K87,"")</f>
        <v/>
      </c>
      <c r="U87" s="57">
        <f>IFERROR(E87+J87+K87-M87-N87-P87-Q87-R87,"")</f>
        <v/>
      </c>
      <c r="V87" s="57">
        <f>IFERROR(S87-U87,"")</f>
        <v/>
      </c>
      <c r="W87" s="57" t="n"/>
      <c r="X87" s="59">
        <f>IFERROR(L87/W87,"")</f>
        <v/>
      </c>
    </row>
    <row r="88" ht="15" customHeight="1" s="44">
      <c r="A88" s="48" t="n"/>
      <c r="B88" s="49" t="n"/>
      <c r="C88" s="50" t="n"/>
      <c r="D88" s="51" t="n"/>
      <c r="E88" s="51" t="n"/>
      <c r="F88" s="51">
        <f>IFERROR(E88-D88,"")</f>
        <v/>
      </c>
      <c r="G88" s="51" t="n"/>
      <c r="H88" s="51" t="n"/>
      <c r="I88" s="51">
        <f>IFERROR(G88+H88,"")</f>
        <v/>
      </c>
      <c r="J88" s="51" t="n"/>
      <c r="K88" s="51" t="n"/>
      <c r="L88" s="51">
        <f>IFERROR(I88+J88+K88,"")</f>
        <v/>
      </c>
      <c r="M88" s="51" t="n"/>
      <c r="N88" s="51" t="n"/>
      <c r="O88" s="52" t="n"/>
      <c r="P88" s="51" t="n"/>
      <c r="Q88" s="51" t="n"/>
      <c r="R88" s="51" t="n"/>
      <c r="S88" s="51" t="n"/>
      <c r="T88" s="51">
        <f>IFERROR(K88,"")</f>
        <v/>
      </c>
      <c r="U88" s="51">
        <f>IFERROR(E88+J88+K88-M88-N88-P88-Q88-R88,"")</f>
        <v/>
      </c>
      <c r="V88" s="51">
        <f>IFERROR(S88-U88,"")</f>
        <v/>
      </c>
      <c r="W88" s="51" t="n"/>
      <c r="X88" s="53">
        <f>IFERROR(L88/W88,"")</f>
        <v/>
      </c>
    </row>
    <row r="89" ht="15" customHeight="1" s="44">
      <c r="A89" s="54" t="n"/>
      <c r="B89" s="55" t="n"/>
      <c r="C89" s="56" t="n"/>
      <c r="D89" s="57" t="n"/>
      <c r="E89" s="57" t="n"/>
      <c r="F89" s="57">
        <f>IFERROR(E89-D89,"")</f>
        <v/>
      </c>
      <c r="G89" s="57" t="n"/>
      <c r="H89" s="57" t="n"/>
      <c r="I89" s="57">
        <f>IFERROR(G89+H89,"")</f>
        <v/>
      </c>
      <c r="J89" s="57" t="n"/>
      <c r="K89" s="57" t="n"/>
      <c r="L89" s="57">
        <f>IFERROR(I89+J89+K89,"")</f>
        <v/>
      </c>
      <c r="M89" s="57" t="n"/>
      <c r="N89" s="57" t="n"/>
      <c r="O89" s="58" t="n"/>
      <c r="P89" s="57" t="n"/>
      <c r="Q89" s="57" t="n"/>
      <c r="R89" s="57" t="n"/>
      <c r="S89" s="57" t="n"/>
      <c r="T89" s="57">
        <f>IFERROR(K89,"")</f>
        <v/>
      </c>
      <c r="U89" s="57">
        <f>IFERROR(E89+J89+K89-M89-N89-P89-Q89-R89,"")</f>
        <v/>
      </c>
      <c r="V89" s="57">
        <f>IFERROR(S89-U89,"")</f>
        <v/>
      </c>
      <c r="W89" s="57" t="n"/>
      <c r="X89" s="59">
        <f>IFERROR(L89/W89,"")</f>
        <v/>
      </c>
    </row>
    <row r="90" ht="15" customHeight="1" s="44">
      <c r="A90" s="48" t="n"/>
      <c r="B90" s="49" t="n"/>
      <c r="C90" s="50" t="n"/>
      <c r="D90" s="51" t="n"/>
      <c r="E90" s="51" t="n"/>
      <c r="F90" s="51">
        <f>IFERROR(E90-D90,"")</f>
        <v/>
      </c>
      <c r="G90" s="51" t="n"/>
      <c r="H90" s="51" t="n"/>
      <c r="I90" s="51">
        <f>IFERROR(G90+H90,"")</f>
        <v/>
      </c>
      <c r="J90" s="51" t="n"/>
      <c r="K90" s="51" t="n"/>
      <c r="L90" s="51">
        <f>IFERROR(I90+J90+K90,"")</f>
        <v/>
      </c>
      <c r="M90" s="51" t="n"/>
      <c r="N90" s="51" t="n"/>
      <c r="O90" s="52" t="n"/>
      <c r="P90" s="51" t="n"/>
      <c r="Q90" s="51" t="n"/>
      <c r="R90" s="51" t="n"/>
      <c r="S90" s="51" t="n"/>
      <c r="T90" s="51">
        <f>IFERROR(K90,"")</f>
        <v/>
      </c>
      <c r="U90" s="51">
        <f>IFERROR(E90+J90+K90-M90-N90-P90-Q90-R90,"")</f>
        <v/>
      </c>
      <c r="V90" s="51">
        <f>IFERROR(S90-U90,"")</f>
        <v/>
      </c>
      <c r="W90" s="51" t="n"/>
      <c r="X90" s="53">
        <f>IFERROR(L90/W90,"")</f>
        <v/>
      </c>
    </row>
    <row r="91" ht="15" customHeight="1" s="44">
      <c r="A91" s="54" t="n"/>
      <c r="B91" s="55" t="n"/>
      <c r="C91" s="56" t="n"/>
      <c r="D91" s="57" t="n"/>
      <c r="E91" s="57" t="n"/>
      <c r="F91" s="57">
        <f>IFERROR(E91-D91,"")</f>
        <v/>
      </c>
      <c r="G91" s="57" t="n"/>
      <c r="H91" s="57" t="n"/>
      <c r="I91" s="57">
        <f>IFERROR(G91+H91,"")</f>
        <v/>
      </c>
      <c r="J91" s="57" t="n"/>
      <c r="K91" s="57" t="n"/>
      <c r="L91" s="57">
        <f>IFERROR(I91+J91+K91,"")</f>
        <v/>
      </c>
      <c r="M91" s="57" t="n"/>
      <c r="N91" s="57" t="n"/>
      <c r="O91" s="58" t="n"/>
      <c r="P91" s="57" t="n"/>
      <c r="Q91" s="57" t="n"/>
      <c r="R91" s="57" t="n"/>
      <c r="S91" s="57" t="n"/>
      <c r="T91" s="57">
        <f>IFERROR(K91,"")</f>
        <v/>
      </c>
      <c r="U91" s="57">
        <f>IFERROR(E91+J91+K91-M91-N91-P91-Q91-R91,"")</f>
        <v/>
      </c>
      <c r="V91" s="57">
        <f>IFERROR(S91-U91,"")</f>
        <v/>
      </c>
      <c r="W91" s="57" t="n"/>
      <c r="X91" s="59">
        <f>IFERROR(L91/W91,"")</f>
        <v/>
      </c>
    </row>
    <row r="92" ht="15" customHeight="1" s="44">
      <c r="A92" s="48" t="n"/>
      <c r="B92" s="49" t="n"/>
      <c r="C92" s="50" t="n"/>
      <c r="D92" s="51" t="n"/>
      <c r="E92" s="51" t="n"/>
      <c r="F92" s="51">
        <f>IFERROR(E92-D92,"")</f>
        <v/>
      </c>
      <c r="G92" s="51" t="n"/>
      <c r="H92" s="51" t="n"/>
      <c r="I92" s="51">
        <f>IFERROR(G92+H92,"")</f>
        <v/>
      </c>
      <c r="J92" s="51" t="n"/>
      <c r="K92" s="51" t="n"/>
      <c r="L92" s="51">
        <f>IFERROR(I92+J92+K92,"")</f>
        <v/>
      </c>
      <c r="M92" s="51" t="n"/>
      <c r="N92" s="51" t="n"/>
      <c r="O92" s="52" t="n"/>
      <c r="P92" s="51" t="n"/>
      <c r="Q92" s="51" t="n"/>
      <c r="R92" s="51" t="n"/>
      <c r="S92" s="51" t="n"/>
      <c r="T92" s="51">
        <f>IFERROR(K92,"")</f>
        <v/>
      </c>
      <c r="U92" s="51">
        <f>IFERROR(E92+J92+K92-M92-N92-P92-Q92-R92,"")</f>
        <v/>
      </c>
      <c r="V92" s="51">
        <f>IFERROR(S92-U92,"")</f>
        <v/>
      </c>
      <c r="W92" s="51" t="n"/>
      <c r="X92" s="53">
        <f>IFERROR(L92/W92,"")</f>
        <v/>
      </c>
    </row>
    <row r="93" ht="15" customHeight="1" s="44">
      <c r="A93" s="54" t="n"/>
      <c r="B93" s="55" t="n"/>
      <c r="C93" s="56" t="n"/>
      <c r="D93" s="57" t="n"/>
      <c r="E93" s="57" t="n"/>
      <c r="F93" s="57">
        <f>IFERROR(E93-D93,"")</f>
        <v/>
      </c>
      <c r="G93" s="57" t="n"/>
      <c r="H93" s="57" t="n"/>
      <c r="I93" s="57">
        <f>IFERROR(G93+H93,"")</f>
        <v/>
      </c>
      <c r="J93" s="57" t="n"/>
      <c r="K93" s="57" t="n"/>
      <c r="L93" s="57">
        <f>IFERROR(I93+J93+K93,"")</f>
        <v/>
      </c>
      <c r="M93" s="57" t="n"/>
      <c r="N93" s="57" t="n"/>
      <c r="O93" s="58" t="n"/>
      <c r="P93" s="57" t="n"/>
      <c r="Q93" s="57" t="n"/>
      <c r="R93" s="57" t="n"/>
      <c r="S93" s="57" t="n"/>
      <c r="T93" s="57">
        <f>IFERROR(K93,"")</f>
        <v/>
      </c>
      <c r="U93" s="57">
        <f>IFERROR(E93+J93+K93-M93-N93-P93-Q93-R93,"")</f>
        <v/>
      </c>
      <c r="V93" s="57">
        <f>IFERROR(S93-U93,"")</f>
        <v/>
      </c>
      <c r="W93" s="57" t="n"/>
      <c r="X93" s="59">
        <f>IFERROR(L93/W93,"")</f>
        <v/>
      </c>
    </row>
    <row r="94" ht="15" customHeight="1" s="44">
      <c r="A94" s="48" t="n"/>
      <c r="B94" s="49" t="n"/>
      <c r="C94" s="50" t="n"/>
      <c r="D94" s="51" t="n"/>
      <c r="E94" s="51" t="n"/>
      <c r="F94" s="51">
        <f>IFERROR(E94-D94,"")</f>
        <v/>
      </c>
      <c r="G94" s="51" t="n"/>
      <c r="H94" s="51" t="n"/>
      <c r="I94" s="51">
        <f>IFERROR(G94+H94,"")</f>
        <v/>
      </c>
      <c r="J94" s="51" t="n"/>
      <c r="K94" s="51" t="n"/>
      <c r="L94" s="51">
        <f>IFERROR(I94+J94+K94,"")</f>
        <v/>
      </c>
      <c r="M94" s="51" t="n"/>
      <c r="N94" s="51" t="n"/>
      <c r="O94" s="52" t="n"/>
      <c r="P94" s="51" t="n"/>
      <c r="Q94" s="51" t="n"/>
      <c r="R94" s="51" t="n"/>
      <c r="S94" s="51" t="n"/>
      <c r="T94" s="51">
        <f>IFERROR(K94,"")</f>
        <v/>
      </c>
      <c r="U94" s="51">
        <f>IFERROR(E94+J94+K94-M94-N94-P94-Q94-R94,"")</f>
        <v/>
      </c>
      <c r="V94" s="51">
        <f>IFERROR(S94-U94,"")</f>
        <v/>
      </c>
      <c r="W94" s="51" t="n"/>
      <c r="X94" s="53">
        <f>IFERROR(L94/W94,"")</f>
        <v/>
      </c>
    </row>
    <row r="95" ht="15" customHeight="1" s="44">
      <c r="A95" s="54" t="n"/>
      <c r="B95" s="55" t="n"/>
      <c r="C95" s="56" t="n"/>
      <c r="D95" s="57" t="n"/>
      <c r="E95" s="57" t="n"/>
      <c r="F95" s="57">
        <f>IFERROR(E95-D95,"")</f>
        <v/>
      </c>
      <c r="G95" s="57" t="n"/>
      <c r="H95" s="57" t="n"/>
      <c r="I95" s="57">
        <f>IFERROR(G95+H95,"")</f>
        <v/>
      </c>
      <c r="J95" s="57" t="n"/>
      <c r="K95" s="57" t="n"/>
      <c r="L95" s="57">
        <f>IFERROR(I95+J95+K95,"")</f>
        <v/>
      </c>
      <c r="M95" s="57" t="n"/>
      <c r="N95" s="57" t="n"/>
      <c r="O95" s="58" t="n"/>
      <c r="P95" s="57" t="n"/>
      <c r="Q95" s="57" t="n"/>
      <c r="R95" s="57" t="n"/>
      <c r="S95" s="57" t="n"/>
      <c r="T95" s="57">
        <f>IFERROR(K95,"")</f>
        <v/>
      </c>
      <c r="U95" s="57">
        <f>IFERROR(E95+J95+K95-M95-N95-P95-Q95-R95,"")</f>
        <v/>
      </c>
      <c r="V95" s="57">
        <f>IFERROR(S95-U95,"")</f>
        <v/>
      </c>
      <c r="W95" s="57" t="n"/>
      <c r="X95" s="59">
        <f>IFERROR(L95/W95,"")</f>
        <v/>
      </c>
    </row>
    <row r="96" ht="15" customHeight="1" s="44">
      <c r="A96" s="48" t="n"/>
      <c r="B96" s="49" t="n"/>
      <c r="C96" s="50" t="n"/>
      <c r="D96" s="51" t="n"/>
      <c r="E96" s="51" t="n"/>
      <c r="F96" s="51">
        <f>IFERROR(E96-D96,"")</f>
        <v/>
      </c>
      <c r="G96" s="51" t="n"/>
      <c r="H96" s="51" t="n"/>
      <c r="I96" s="51">
        <f>IFERROR(G96+H96,"")</f>
        <v/>
      </c>
      <c r="J96" s="51" t="n"/>
      <c r="K96" s="51" t="n"/>
      <c r="L96" s="51">
        <f>IFERROR(I96+J96+K96,"")</f>
        <v/>
      </c>
      <c r="M96" s="51" t="n"/>
      <c r="N96" s="51" t="n"/>
      <c r="O96" s="52" t="n"/>
      <c r="P96" s="51" t="n"/>
      <c r="Q96" s="51" t="n"/>
      <c r="R96" s="51" t="n"/>
      <c r="S96" s="51" t="n"/>
      <c r="T96" s="51">
        <f>IFERROR(K96,"")</f>
        <v/>
      </c>
      <c r="U96" s="51">
        <f>IFERROR(E96+J96+K96-M96-N96-P96-Q96-R96,"")</f>
        <v/>
      </c>
      <c r="V96" s="51">
        <f>IFERROR(S96-U96,"")</f>
        <v/>
      </c>
      <c r="W96" s="51" t="n"/>
      <c r="X96" s="53">
        <f>IFERROR(L96/W96,"")</f>
        <v/>
      </c>
    </row>
    <row r="97" ht="15" customHeight="1" s="44">
      <c r="A97" s="54" t="n"/>
      <c r="B97" s="55" t="n"/>
      <c r="C97" s="56" t="n"/>
      <c r="D97" s="57" t="n"/>
      <c r="E97" s="57" t="n"/>
      <c r="F97" s="57">
        <f>IFERROR(E97-D97,"")</f>
        <v/>
      </c>
      <c r="G97" s="57" t="n"/>
      <c r="H97" s="57" t="n"/>
      <c r="I97" s="57">
        <f>IFERROR(G97+H97,"")</f>
        <v/>
      </c>
      <c r="J97" s="57" t="n"/>
      <c r="K97" s="57" t="n"/>
      <c r="L97" s="57">
        <f>IFERROR(I97+J97+K97,"")</f>
        <v/>
      </c>
      <c r="M97" s="57" t="n"/>
      <c r="N97" s="57" t="n"/>
      <c r="O97" s="58" t="n"/>
      <c r="P97" s="57" t="n"/>
      <c r="Q97" s="57" t="n"/>
      <c r="R97" s="57" t="n"/>
      <c r="S97" s="57" t="n"/>
      <c r="T97" s="57">
        <f>IFERROR(K97,"")</f>
        <v/>
      </c>
      <c r="U97" s="57">
        <f>IFERROR(E97+J97+K97-M97-N97-P97-Q97-R97,"")</f>
        <v/>
      </c>
      <c r="V97" s="57">
        <f>IFERROR(S97-U97,"")</f>
        <v/>
      </c>
      <c r="W97" s="57" t="n"/>
      <c r="X97" s="59">
        <f>IFERROR(L97/W97,"")</f>
        <v/>
      </c>
    </row>
    <row r="98" ht="15" customHeight="1" s="44">
      <c r="A98" s="48" t="n"/>
      <c r="B98" s="49" t="n"/>
      <c r="C98" s="50" t="n"/>
      <c r="D98" s="51" t="n"/>
      <c r="E98" s="51" t="n"/>
      <c r="F98" s="51">
        <f>IFERROR(E98-D98,"")</f>
        <v/>
      </c>
      <c r="G98" s="51" t="n"/>
      <c r="H98" s="51" t="n"/>
      <c r="I98" s="51">
        <f>IFERROR(G98+H98,"")</f>
        <v/>
      </c>
      <c r="J98" s="51" t="n"/>
      <c r="K98" s="51" t="n"/>
      <c r="L98" s="51">
        <f>IFERROR(I98+J98+K98,"")</f>
        <v/>
      </c>
      <c r="M98" s="51" t="n"/>
      <c r="N98" s="51" t="n"/>
      <c r="O98" s="52" t="n"/>
      <c r="P98" s="51" t="n"/>
      <c r="Q98" s="51" t="n"/>
      <c r="R98" s="51" t="n"/>
      <c r="S98" s="51" t="n"/>
      <c r="T98" s="51">
        <f>IFERROR(K98,"")</f>
        <v/>
      </c>
      <c r="U98" s="51">
        <f>IFERROR(E98+J98+K98-M98-N98-P98-Q98-R98,"")</f>
        <v/>
      </c>
      <c r="V98" s="51">
        <f>IFERROR(S98-U98,"")</f>
        <v/>
      </c>
      <c r="W98" s="51" t="n"/>
      <c r="X98" s="53">
        <f>IFERROR(L98/W98,"")</f>
        <v/>
      </c>
    </row>
    <row r="99" ht="15" customHeight="1" s="44">
      <c r="A99" s="54" t="n"/>
      <c r="B99" s="55" t="n"/>
      <c r="C99" s="56" t="n"/>
      <c r="D99" s="57" t="n"/>
      <c r="E99" s="57" t="n"/>
      <c r="F99" s="57">
        <f>IFERROR(E99-D99,"")</f>
        <v/>
      </c>
      <c r="G99" s="57" t="n"/>
      <c r="H99" s="57" t="n"/>
      <c r="I99" s="57">
        <f>IFERROR(G99+H99,"")</f>
        <v/>
      </c>
      <c r="J99" s="57" t="n"/>
      <c r="K99" s="57" t="n"/>
      <c r="L99" s="57">
        <f>IFERROR(I99+J99+K99,"")</f>
        <v/>
      </c>
      <c r="M99" s="57" t="n"/>
      <c r="N99" s="57" t="n"/>
      <c r="O99" s="58" t="n"/>
      <c r="P99" s="57" t="n"/>
      <c r="Q99" s="57" t="n"/>
      <c r="R99" s="57" t="n"/>
      <c r="S99" s="57" t="n"/>
      <c r="T99" s="57">
        <f>IFERROR(K99,"")</f>
        <v/>
      </c>
      <c r="U99" s="57">
        <f>IFERROR(E99+J99+K99-M99-N99-P99-Q99-R99,"")</f>
        <v/>
      </c>
      <c r="V99" s="57">
        <f>IFERROR(S99-U99,"")</f>
        <v/>
      </c>
      <c r="W99" s="57" t="n"/>
      <c r="X99" s="59">
        <f>IFERROR(L99/W99,"")</f>
        <v/>
      </c>
    </row>
    <row r="100" ht="15" customHeight="1" s="44">
      <c r="A100" s="48" t="n"/>
      <c r="B100" s="49" t="n"/>
      <c r="C100" s="50" t="n"/>
      <c r="D100" s="51" t="n"/>
      <c r="E100" s="51" t="n"/>
      <c r="F100" s="51">
        <f>IFERROR(E100-D100,"")</f>
        <v/>
      </c>
      <c r="G100" s="51" t="n"/>
      <c r="H100" s="51" t="n"/>
      <c r="I100" s="51">
        <f>IFERROR(G100+H100,"")</f>
        <v/>
      </c>
      <c r="J100" s="51" t="n"/>
      <c r="K100" s="51" t="n"/>
      <c r="L100" s="51">
        <f>IFERROR(I100+J100+K100,"")</f>
        <v/>
      </c>
      <c r="M100" s="51" t="n"/>
      <c r="N100" s="51" t="n"/>
      <c r="O100" s="52" t="n"/>
      <c r="P100" s="51" t="n"/>
      <c r="Q100" s="51" t="n"/>
      <c r="R100" s="51" t="n"/>
      <c r="S100" s="51" t="n"/>
      <c r="T100" s="51">
        <f>IFERROR(K100,"")</f>
        <v/>
      </c>
      <c r="U100" s="51">
        <f>IFERROR(E100+J100+K100-M100-N100-P100-Q100-R100,"")</f>
        <v/>
      </c>
      <c r="V100" s="51">
        <f>IFERROR(S100-U100,"")</f>
        <v/>
      </c>
      <c r="W100" s="51" t="n"/>
      <c r="X100" s="53">
        <f>IFERROR(L100/W100,"")</f>
        <v/>
      </c>
    </row>
    <row r="101" ht="15" customHeight="1" s="44">
      <c r="A101" s="54" t="n"/>
      <c r="B101" s="55" t="n"/>
      <c r="C101" s="56" t="n"/>
      <c r="D101" s="57" t="n"/>
      <c r="E101" s="57" t="n"/>
      <c r="F101" s="57">
        <f>IFERROR(E101-D101,"")</f>
        <v/>
      </c>
      <c r="G101" s="57" t="n"/>
      <c r="H101" s="57" t="n"/>
      <c r="I101" s="57">
        <f>IFERROR(G101+H101,"")</f>
        <v/>
      </c>
      <c r="J101" s="57" t="n"/>
      <c r="K101" s="57" t="n"/>
      <c r="L101" s="57">
        <f>IFERROR(I101+J101+K101,"")</f>
        <v/>
      </c>
      <c r="M101" s="57" t="n"/>
      <c r="N101" s="57" t="n"/>
      <c r="O101" s="58" t="n"/>
      <c r="P101" s="57" t="n"/>
      <c r="Q101" s="57" t="n"/>
      <c r="R101" s="57" t="n"/>
      <c r="S101" s="57" t="n"/>
      <c r="T101" s="57">
        <f>IFERROR(K101,"")</f>
        <v/>
      </c>
      <c r="U101" s="57">
        <f>IFERROR(E101+J101+K101-M101-N101-P101-Q101-R101,"")</f>
        <v/>
      </c>
      <c r="V101" s="57">
        <f>IFERROR(S101-U101,"")</f>
        <v/>
      </c>
      <c r="W101" s="57" t="n"/>
      <c r="X101" s="59">
        <f>IFERROR(L101/W101,"")</f>
        <v/>
      </c>
    </row>
    <row r="102" ht="15" customHeight="1" s="44">
      <c r="A102" s="48" t="n"/>
      <c r="B102" s="49" t="n"/>
      <c r="C102" s="50" t="n"/>
      <c r="D102" s="51" t="n"/>
      <c r="E102" s="51" t="n"/>
      <c r="F102" s="51">
        <f>IFERROR(E102-D102,"")</f>
        <v/>
      </c>
      <c r="G102" s="51" t="n"/>
      <c r="H102" s="51" t="n"/>
      <c r="I102" s="51">
        <f>IFERROR(G102+H102,"")</f>
        <v/>
      </c>
      <c r="J102" s="51" t="n"/>
      <c r="K102" s="51" t="n"/>
      <c r="L102" s="51">
        <f>IFERROR(I102+J102+K102,"")</f>
        <v/>
      </c>
      <c r="M102" s="51" t="n"/>
      <c r="N102" s="51" t="n"/>
      <c r="O102" s="52" t="n"/>
      <c r="P102" s="51" t="n"/>
      <c r="Q102" s="51" t="n"/>
      <c r="R102" s="51" t="n"/>
      <c r="S102" s="51" t="n"/>
      <c r="T102" s="51">
        <f>IFERROR(K102,"")</f>
        <v/>
      </c>
      <c r="U102" s="51">
        <f>IFERROR(E102+J102+K102-M102-N102-P102-Q102-R102,"")</f>
        <v/>
      </c>
      <c r="V102" s="51">
        <f>IFERROR(S102-U102,"")</f>
        <v/>
      </c>
      <c r="W102" s="51" t="n"/>
      <c r="X102" s="53">
        <f>IFERROR(L102/W102,"")</f>
        <v/>
      </c>
    </row>
    <row r="103" ht="15" customHeight="1" s="44">
      <c r="A103" s="54" t="n"/>
      <c r="B103" s="55" t="n"/>
      <c r="C103" s="56" t="n"/>
      <c r="D103" s="57" t="n"/>
      <c r="E103" s="57" t="n"/>
      <c r="F103" s="57">
        <f>IFERROR(E103-D103,"")</f>
        <v/>
      </c>
      <c r="G103" s="57" t="n"/>
      <c r="H103" s="57" t="n"/>
      <c r="I103" s="57">
        <f>IFERROR(G103+H103,"")</f>
        <v/>
      </c>
      <c r="J103" s="57" t="n"/>
      <c r="K103" s="57" t="n"/>
      <c r="L103" s="57">
        <f>IFERROR(I103+J103+K103,"")</f>
        <v/>
      </c>
      <c r="M103" s="57" t="n"/>
      <c r="N103" s="57" t="n"/>
      <c r="O103" s="58" t="n"/>
      <c r="P103" s="57" t="n"/>
      <c r="Q103" s="57" t="n"/>
      <c r="R103" s="57" t="n"/>
      <c r="S103" s="57" t="n"/>
      <c r="T103" s="57">
        <f>IFERROR(K103,"")</f>
        <v/>
      </c>
      <c r="U103" s="57">
        <f>IFERROR(E103+J103+K103-M103-N103-P103-Q103-R103,"")</f>
        <v/>
      </c>
      <c r="V103" s="57">
        <f>IFERROR(S103-U103,"")</f>
        <v/>
      </c>
      <c r="W103" s="57" t="n"/>
      <c r="X103" s="59">
        <f>IFERROR(L103/W103,"")</f>
        <v/>
      </c>
    </row>
  </sheetData>
  <mergeCells count="7">
    <mergeCell ref="D2:F2"/>
    <mergeCell ref="G2:L2"/>
    <mergeCell ref="W2:X2"/>
    <mergeCell ref="M2:Q2"/>
    <mergeCell ref="S2:V2"/>
    <mergeCell ref="A1:X1"/>
    <mergeCell ref="A2:C2"/>
  </mergeCells>
  <conditionalFormatting sqref="V4:V103">
    <cfRule type="cellIs" rank="0" priority="2" equalAverage="0" operator="equal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conditionalFormatting sqref="X4:X103">
    <cfRule type="cellIs" rank="0" priority="4" equalAverage="0" operator="greaterThanOrEqual" aboveAverage="0" dxfId="0" text="" percent="0" bottom="0">
      <formula>1</formula>
    </cfRule>
    <cfRule type="cellIs" rank="0" priority="5" equalAverage="0" operator="lessThan" aboveAverage="0" dxfId="1" text="" percent="0" bottom="0">
      <formula>0.8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3" min="1" max="1"/>
    <col width="10" customWidth="1" style="43" min="2" max="2"/>
    <col width="18" customWidth="1" style="43" min="3" max="3"/>
    <col width="16" customWidth="1" style="43" min="4" max="6"/>
    <col width="14" customWidth="1" style="43" min="7" max="8"/>
  </cols>
  <sheetData>
    <row r="1" ht="31.5" customHeight="1" s="44">
      <c r="A1" s="45" t="inlineStr">
        <is>
          <t>ЭТНА — Аналитический дашборд</t>
        </is>
      </c>
    </row>
    <row r="2" ht="19.5" customHeight="1" s="44">
      <c r="A2" s="46" t="inlineStr">
        <is>
          <t>КЛЮЧЕВЫЕ ПОКАЗАТЕЛИ</t>
        </is>
      </c>
    </row>
    <row r="3" ht="22.05" customHeight="1" s="44">
      <c r="A3" s="60">
        <f>COUNTA(Данные!A4:A103)</f>
        <v/>
      </c>
      <c r="B3" s="61" t="n"/>
      <c r="C3" s="62">
        <f>IFERROR(SUM(Данные!L4:L103),0)</f>
        <v/>
      </c>
      <c r="D3" s="61" t="n"/>
      <c r="E3" s="62">
        <f>IFERROR(SUM(Данные!J4:J103),0)</f>
        <v/>
      </c>
      <c r="F3" s="61" t="n"/>
      <c r="G3" s="62">
        <f>IFERROR(SUM(Данные!M4:Q103),0)</f>
        <v/>
      </c>
      <c r="H3" s="61" t="n"/>
    </row>
    <row r="4" ht="22.05" customHeight="1" s="44">
      <c r="A4" s="62">
        <f>IFERROR(AVERAGE(Данные!L4:L103),0)</f>
        <v/>
      </c>
      <c r="B4" s="61" t="n"/>
      <c r="C4" s="62">
        <f>IFERROR(AVERAGE(Данные!J4:J103),0)</f>
        <v/>
      </c>
      <c r="D4" s="61" t="n"/>
      <c r="E4" s="60">
        <f>IFERROR(COUNTIF(Данные!V4:V103,"&lt;&gt;0"),0)</f>
        <v/>
      </c>
      <c r="F4" s="61" t="n"/>
      <c r="G4" s="60">
        <f>IFERROR(SUM(Данные!O4:O103),0)</f>
        <v/>
      </c>
      <c r="H4" s="61" t="n"/>
    </row>
    <row r="6" ht="19.5" customHeight="1" s="44">
      <c r="A6" s="46" t="inlineStr">
        <is>
          <t>СРЕДНИЕ ПОКАЗАТЕЛИ ПО ДНЯМ НЕДЕЛИ</t>
        </is>
      </c>
    </row>
    <row r="7" ht="30" customHeight="1" s="44">
      <c r="A7" s="47" t="inlineStr">
        <is>
          <t>День</t>
        </is>
      </c>
      <c r="B7" s="47" t="inlineStr">
        <is>
          <t>Кол-во смен</t>
        </is>
      </c>
      <c r="C7" s="47" t="inlineStr">
        <is>
          <t>Ср. выручка</t>
        </is>
      </c>
      <c r="D7" s="47" t="inlineStr">
        <is>
          <t>Ср. наличные</t>
        </is>
      </c>
      <c r="E7" s="47" t="inlineStr">
        <is>
          <t>Ср. кальяны</t>
        </is>
      </c>
      <c r="F7" s="47" t="inlineStr">
        <is>
          <t>% выполнения</t>
        </is>
      </c>
      <c r="G7" s="47" t="inlineStr">
        <is>
          <t>Ср. разница</t>
        </is>
      </c>
    </row>
    <row r="8" ht="15" customHeight="1" s="44">
      <c r="A8" s="63" t="inlineStr">
        <is>
          <t>Пн</t>
        </is>
      </c>
      <c r="B8" s="64">
        <f>COUNTIF(Данные!B$4:B$103,A8)</f>
        <v/>
      </c>
      <c r="C8" s="65">
        <f>IFERROR(AVERAGEIF(Данные!B$4:B$103,A8,Данные!L$4:L$103),"-")</f>
        <v/>
      </c>
      <c r="D8" s="65">
        <f>IFERROR(AVERAGEIF(Данные!B$4:B$103,A8,Данные!J$4:J$103),"-")</f>
        <v/>
      </c>
      <c r="E8" s="66">
        <f>IFERROR(AVERAGEIF(Данные!B$4:B$103,A8,Данные!O$4:O$103),"-")</f>
        <v/>
      </c>
      <c r="F8" s="67">
        <f>IFERROR(AVERAGEIF(Данные!B$4:B$103,A8,Данные!X$4:X$103),"-")</f>
        <v/>
      </c>
      <c r="G8" s="65">
        <f>IFERROR(AVERAGEIF(Данные!B$4:B$103,A8,Данные!V$4:V$103),"-")</f>
        <v/>
      </c>
    </row>
    <row r="9" ht="15" customHeight="1" s="44">
      <c r="A9" s="68" t="inlineStr">
        <is>
          <t>Вт</t>
        </is>
      </c>
      <c r="B9" s="69">
        <f>COUNTIF(Данные!B$4:B$103,A9)</f>
        <v/>
      </c>
      <c r="C9" s="70">
        <f>IFERROR(AVERAGEIF(Данные!B$4:B$103,A9,Данные!L$4:L$103),"-")</f>
        <v/>
      </c>
      <c r="D9" s="70">
        <f>IFERROR(AVERAGEIF(Данные!B$4:B$103,A9,Данные!J$4:J$103),"-")</f>
        <v/>
      </c>
      <c r="E9" s="71">
        <f>IFERROR(AVERAGEIF(Данные!B$4:B$103,A9,Данные!O$4:O$103),"-")</f>
        <v/>
      </c>
      <c r="F9" s="72">
        <f>IFERROR(AVERAGEIF(Данные!B$4:B$103,A9,Данные!X$4:X$103),"-")</f>
        <v/>
      </c>
      <c r="G9" s="70">
        <f>IFERROR(AVERAGEIF(Данные!B$4:B$103,A9,Данные!V$4:V$103),"-")</f>
        <v/>
      </c>
    </row>
    <row r="10" ht="15" customHeight="1" s="44">
      <c r="A10" s="63" t="inlineStr">
        <is>
          <t>Ср</t>
        </is>
      </c>
      <c r="B10" s="64">
        <f>COUNTIF(Данные!B$4:B$103,A10)</f>
        <v/>
      </c>
      <c r="C10" s="65">
        <f>IFERROR(AVERAGEIF(Данные!B$4:B$103,A10,Данные!L$4:L$103),"-")</f>
        <v/>
      </c>
      <c r="D10" s="65">
        <f>IFERROR(AVERAGEIF(Данные!B$4:B$103,A10,Данные!J$4:J$103),"-")</f>
        <v/>
      </c>
      <c r="E10" s="66">
        <f>IFERROR(AVERAGEIF(Данные!B$4:B$103,A10,Данные!O$4:O$103),"-")</f>
        <v/>
      </c>
      <c r="F10" s="67">
        <f>IFERROR(AVERAGEIF(Данные!B$4:B$103,A10,Данные!X$4:X$103),"-")</f>
        <v/>
      </c>
      <c r="G10" s="65">
        <f>IFERROR(AVERAGEIF(Данные!B$4:B$103,A10,Данные!V$4:V$103),"-")</f>
        <v/>
      </c>
    </row>
    <row r="11" ht="15" customHeight="1" s="44">
      <c r="A11" s="68" t="inlineStr">
        <is>
          <t>Чт</t>
        </is>
      </c>
      <c r="B11" s="69">
        <f>COUNTIF(Данные!B$4:B$103,A11)</f>
        <v/>
      </c>
      <c r="C11" s="70">
        <f>IFERROR(AVERAGEIF(Данные!B$4:B$103,A11,Данные!L$4:L$103),"-")</f>
        <v/>
      </c>
      <c r="D11" s="70">
        <f>IFERROR(AVERAGEIF(Данные!B$4:B$103,A11,Данные!J$4:J$103),"-")</f>
        <v/>
      </c>
      <c r="E11" s="71">
        <f>IFERROR(AVERAGEIF(Данные!B$4:B$103,A11,Данные!O$4:O$103),"-")</f>
        <v/>
      </c>
      <c r="F11" s="72">
        <f>IFERROR(AVERAGEIF(Данные!B$4:B$103,A11,Данные!X$4:X$103),"-")</f>
        <v/>
      </c>
      <c r="G11" s="70">
        <f>IFERROR(AVERAGEIF(Данные!B$4:B$103,A11,Данные!V$4:V$103),"-")</f>
        <v/>
      </c>
    </row>
    <row r="12" ht="15" customHeight="1" s="44">
      <c r="A12" s="63" t="inlineStr">
        <is>
          <t>Пт</t>
        </is>
      </c>
      <c r="B12" s="64">
        <f>COUNTIF(Данные!B$4:B$103,A12)</f>
        <v/>
      </c>
      <c r="C12" s="65">
        <f>IFERROR(AVERAGEIF(Данные!B$4:B$103,A12,Данные!L$4:L$103),"-")</f>
        <v/>
      </c>
      <c r="D12" s="65">
        <f>IFERROR(AVERAGEIF(Данные!B$4:B$103,A12,Данные!J$4:J$103),"-")</f>
        <v/>
      </c>
      <c r="E12" s="66">
        <f>IFERROR(AVERAGEIF(Данные!B$4:B$103,A12,Данные!O$4:O$103),"-")</f>
        <v/>
      </c>
      <c r="F12" s="67">
        <f>IFERROR(AVERAGEIF(Данные!B$4:B$103,A12,Данные!X$4:X$103),"-")</f>
        <v/>
      </c>
      <c r="G12" s="65">
        <f>IFERROR(AVERAGEIF(Данные!B$4:B$103,A12,Данные!V$4:V$103),"-")</f>
        <v/>
      </c>
    </row>
    <row r="13" ht="15" customHeight="1" s="44">
      <c r="A13" s="68" t="inlineStr">
        <is>
          <t>Сб</t>
        </is>
      </c>
      <c r="B13" s="69">
        <f>COUNTIF(Данные!B$4:B$103,A13)</f>
        <v/>
      </c>
      <c r="C13" s="70">
        <f>IFERROR(AVERAGEIF(Данные!B$4:B$103,A13,Данные!L$4:L$103),"-")</f>
        <v/>
      </c>
      <c r="D13" s="70">
        <f>IFERROR(AVERAGEIF(Данные!B$4:B$103,A13,Данные!J$4:J$103),"-")</f>
        <v/>
      </c>
      <c r="E13" s="71">
        <f>IFERROR(AVERAGEIF(Данные!B$4:B$103,A13,Данные!O$4:O$103),"-")</f>
        <v/>
      </c>
      <c r="F13" s="72">
        <f>IFERROR(AVERAGEIF(Данные!B$4:B$103,A13,Данные!X$4:X$103),"-")</f>
        <v/>
      </c>
      <c r="G13" s="70">
        <f>IFERROR(AVERAGEIF(Данные!B$4:B$103,A13,Данные!V$4:V$103),"-")</f>
        <v/>
      </c>
    </row>
    <row r="14" ht="15" customHeight="1" s="44">
      <c r="A14" s="63" t="inlineStr">
        <is>
          <t>Вс</t>
        </is>
      </c>
      <c r="B14" s="64">
        <f>COUNTIF(Данные!B$4:B$103,A14)</f>
        <v/>
      </c>
      <c r="C14" s="65">
        <f>IFERROR(AVERAGEIF(Данные!B$4:B$103,A14,Данные!L$4:L$103),"-")</f>
        <v/>
      </c>
      <c r="D14" s="65">
        <f>IFERROR(AVERAGEIF(Данные!B$4:B$103,A14,Данные!J$4:J$103),"-")</f>
        <v/>
      </c>
      <c r="E14" s="66">
        <f>IFERROR(AVERAGEIF(Данные!B$4:B$103,A14,Данные!O$4:O$103),"-")</f>
        <v/>
      </c>
      <c r="F14" s="67">
        <f>IFERROR(AVERAGEIF(Данные!B$4:B$103,A14,Данные!X$4:X$103),"-")</f>
        <v/>
      </c>
      <c r="G14" s="65">
        <f>IFERROR(AVERAGEIF(Данные!B$4:B$103,A14,Данные!V$4:V$103),"-")</f>
        <v/>
      </c>
    </row>
    <row r="16" ht="19.5" customHeight="1" s="44">
      <c r="A16" s="46" t="inlineStr">
        <is>
          <t>ПОСЛЕДНИЕ 7 СМЕН</t>
        </is>
      </c>
    </row>
    <row r="17" ht="15" customHeight="1" s="44">
      <c r="A17" s="47" t="inlineStr">
        <is>
          <t>Дата</t>
        </is>
      </c>
      <c r="B17" s="47" t="inlineStr">
        <is>
          <t>День</t>
        </is>
      </c>
      <c r="C17" s="47" t="inlineStr">
        <is>
          <t>Сотрудник</t>
        </is>
      </c>
      <c r="D17" s="47" t="inlineStr">
        <is>
          <t>Выручка</t>
        </is>
      </c>
      <c r="E17" s="47" t="inlineStr">
        <is>
          <t>Наличные</t>
        </is>
      </c>
      <c r="F17" s="47" t="inlineStr">
        <is>
          <t>Расходы</t>
        </is>
      </c>
      <c r="G17" s="47" t="inlineStr">
        <is>
          <t>Разница</t>
        </is>
      </c>
      <c r="H17" s="47" t="inlineStr">
        <is>
          <t>% плана</t>
        </is>
      </c>
    </row>
    <row r="18" ht="15" customHeight="1" s="44">
      <c r="A18" s="73">
        <f>IFERROR(INDEX(Данные!A$4:A$103,MATCH(LARGE(Данные!A$4:A$103,1),Данные!A$4:A$103,0)),"")</f>
        <v/>
      </c>
      <c r="B18" s="74">
        <f>IFERROR(INDEX(Данные!B$4:B$103,MATCH(LARGE(Данные!A$4:A$103,1),Данные!A$4:A$103,0)),"")</f>
        <v/>
      </c>
      <c r="C18" s="75">
        <f>IFERROR(INDEX(Данные!C$4:C$103,MATCH(LARGE(Данные!A$4:A$103,1),Данные!A$4:A$103,0)),"")</f>
        <v/>
      </c>
      <c r="D18" s="65">
        <f>IFERROR(INDEX(Данные!L$4:L$103,MATCH(LARGE(Данные!A$4:A$103,1),Данные!A$4:A$103,0)),"")</f>
        <v/>
      </c>
      <c r="E18" s="65">
        <f>IFERROR(INDEX(Данные!J$4:J$103,MATCH(LARGE(Данные!A$4:A$103,1),Данные!A$4:A$103,0)),"")</f>
        <v/>
      </c>
      <c r="F18" s="65">
        <f>IFERROR(INDEX(Данные!Q$4:Q$103,MATCH(LARGE(Данные!A$4:A$103,1),Данные!A$4:A$103,0)),"")</f>
        <v/>
      </c>
      <c r="G18" s="65">
        <f>IFERROR(INDEX(Данные!V$4:V$103,MATCH(LARGE(Данные!A$4:A$103,1),Данные!A$4:A$103,0)),"")</f>
        <v/>
      </c>
      <c r="H18" s="67">
        <f>IFERROR(INDEX(Данные!X$4:X$103,MATCH(LARGE(Данные!A$4:A$103,1),Данные!A$4:A$103,0)),"")</f>
        <v/>
      </c>
    </row>
    <row r="19" ht="15" customHeight="1" s="44">
      <c r="A19" s="76">
        <f>IFERROR(INDEX(Данные!A$4:A$103,MATCH(LARGE(Данные!A$4:A$103,2),Данные!A$4:A$103,0)),"")</f>
        <v/>
      </c>
      <c r="B19" s="77">
        <f>IFERROR(INDEX(Данные!B$4:B$103,MATCH(LARGE(Данные!A$4:A$103,2),Данные!A$4:A$103,0)),"")</f>
        <v/>
      </c>
      <c r="C19" s="78">
        <f>IFERROR(INDEX(Данные!C$4:C$103,MATCH(LARGE(Данные!A$4:A$103,2),Данные!A$4:A$103,0)),"")</f>
        <v/>
      </c>
      <c r="D19" s="70">
        <f>IFERROR(INDEX(Данные!L$4:L$103,MATCH(LARGE(Данные!A$4:A$103,2),Данные!A$4:A$103,0)),"")</f>
        <v/>
      </c>
      <c r="E19" s="70">
        <f>IFERROR(INDEX(Данные!J$4:J$103,MATCH(LARGE(Данные!A$4:A$103,2),Данные!A$4:A$103,0)),"")</f>
        <v/>
      </c>
      <c r="F19" s="70">
        <f>IFERROR(INDEX(Данные!Q$4:Q$103,MATCH(LARGE(Данные!A$4:A$103,2),Данные!A$4:A$103,0)),"")</f>
        <v/>
      </c>
      <c r="G19" s="70">
        <f>IFERROR(INDEX(Данные!V$4:V$103,MATCH(LARGE(Данные!A$4:A$103,2),Данные!A$4:A$103,0)),"")</f>
        <v/>
      </c>
      <c r="H19" s="72">
        <f>IFERROR(INDEX(Данные!X$4:X$103,MATCH(LARGE(Данные!A$4:A$103,2),Данные!A$4:A$103,0)),"")</f>
        <v/>
      </c>
    </row>
    <row r="20" ht="15" customHeight="1" s="44">
      <c r="A20" s="73">
        <f>IFERROR(INDEX(Данные!A$4:A$103,MATCH(LARGE(Данные!A$4:A$103,3),Данные!A$4:A$103,0)),"")</f>
        <v/>
      </c>
      <c r="B20" s="74">
        <f>IFERROR(INDEX(Данные!B$4:B$103,MATCH(LARGE(Данные!A$4:A$103,3),Данные!A$4:A$103,0)),"")</f>
        <v/>
      </c>
      <c r="C20" s="75">
        <f>IFERROR(INDEX(Данные!C$4:C$103,MATCH(LARGE(Данные!A$4:A$103,3),Данные!A$4:A$103,0)),"")</f>
        <v/>
      </c>
      <c r="D20" s="65">
        <f>IFERROR(INDEX(Данные!L$4:L$103,MATCH(LARGE(Данные!A$4:A$103,3),Данные!A$4:A$103,0)),"")</f>
        <v/>
      </c>
      <c r="E20" s="65">
        <f>IFERROR(INDEX(Данные!J$4:J$103,MATCH(LARGE(Данные!A$4:A$103,3),Данные!A$4:A$103,0)),"")</f>
        <v/>
      </c>
      <c r="F20" s="65">
        <f>IFERROR(INDEX(Данные!Q$4:Q$103,MATCH(LARGE(Данные!A$4:A$103,3),Данные!A$4:A$103,0)),"")</f>
        <v/>
      </c>
      <c r="G20" s="65">
        <f>IFERROR(INDEX(Данные!V$4:V$103,MATCH(LARGE(Данные!A$4:A$103,3),Данные!A$4:A$103,0)),"")</f>
        <v/>
      </c>
      <c r="H20" s="67">
        <f>IFERROR(INDEX(Данные!X$4:X$103,MATCH(LARGE(Данные!A$4:A$103,3),Данные!A$4:A$103,0)),"")</f>
        <v/>
      </c>
    </row>
    <row r="21" ht="15" customHeight="1" s="44">
      <c r="A21" s="76">
        <f>IFERROR(INDEX(Данные!A$4:A$103,MATCH(LARGE(Данные!A$4:A$103,4),Данные!A$4:A$103,0)),"")</f>
        <v/>
      </c>
      <c r="B21" s="77">
        <f>IFERROR(INDEX(Данные!B$4:B$103,MATCH(LARGE(Данные!A$4:A$103,4),Данные!A$4:A$103,0)),"")</f>
        <v/>
      </c>
      <c r="C21" s="78">
        <f>IFERROR(INDEX(Данные!C$4:C$103,MATCH(LARGE(Данные!A$4:A$103,4),Данные!A$4:A$103,0)),"")</f>
        <v/>
      </c>
      <c r="D21" s="70">
        <f>IFERROR(INDEX(Данные!L$4:L$103,MATCH(LARGE(Данные!A$4:A$103,4),Данные!A$4:A$103,0)),"")</f>
        <v/>
      </c>
      <c r="E21" s="70">
        <f>IFERROR(INDEX(Данные!J$4:J$103,MATCH(LARGE(Данные!A$4:A$103,4),Данные!A$4:A$103,0)),"")</f>
        <v/>
      </c>
      <c r="F21" s="70">
        <f>IFERROR(INDEX(Данные!Q$4:Q$103,MATCH(LARGE(Данные!A$4:A$103,4),Данные!A$4:A$103,0)),"")</f>
        <v/>
      </c>
      <c r="G21" s="70">
        <f>IFERROR(INDEX(Данные!V$4:V$103,MATCH(LARGE(Данные!A$4:A$103,4),Данные!A$4:A$103,0)),"")</f>
        <v/>
      </c>
      <c r="H21" s="72">
        <f>IFERROR(INDEX(Данные!X$4:X$103,MATCH(LARGE(Данные!A$4:A$103,4),Данные!A$4:A$103,0)),"")</f>
        <v/>
      </c>
    </row>
    <row r="22" ht="15" customHeight="1" s="44">
      <c r="A22" s="73">
        <f>IFERROR(INDEX(Данные!A$4:A$103,MATCH(LARGE(Данные!A$4:A$103,5),Данные!A$4:A$103,0)),"")</f>
        <v/>
      </c>
      <c r="B22" s="74">
        <f>IFERROR(INDEX(Данные!B$4:B$103,MATCH(LARGE(Данные!A$4:A$103,5),Данные!A$4:A$103,0)),"")</f>
        <v/>
      </c>
      <c r="C22" s="75">
        <f>IFERROR(INDEX(Данные!C$4:C$103,MATCH(LARGE(Данные!A$4:A$103,5),Данные!A$4:A$103,0)),"")</f>
        <v/>
      </c>
      <c r="D22" s="65">
        <f>IFERROR(INDEX(Данные!L$4:L$103,MATCH(LARGE(Данные!A$4:A$103,5),Данные!A$4:A$103,0)),"")</f>
        <v/>
      </c>
      <c r="E22" s="65">
        <f>IFERROR(INDEX(Данные!J$4:J$103,MATCH(LARGE(Данные!A$4:A$103,5),Данные!A$4:A$103,0)),"")</f>
        <v/>
      </c>
      <c r="F22" s="65">
        <f>IFERROR(INDEX(Данные!Q$4:Q$103,MATCH(LARGE(Данные!A$4:A$103,5),Данные!A$4:A$103,0)),"")</f>
        <v/>
      </c>
      <c r="G22" s="65">
        <f>IFERROR(INDEX(Данные!V$4:V$103,MATCH(LARGE(Данные!A$4:A$103,5),Данные!A$4:A$103,0)),"")</f>
        <v/>
      </c>
      <c r="H22" s="67">
        <f>IFERROR(INDEX(Данные!X$4:X$103,MATCH(LARGE(Данные!A$4:A$103,5),Данные!A$4:A$103,0)),"")</f>
        <v/>
      </c>
    </row>
    <row r="23" ht="15" customHeight="1" s="44">
      <c r="A23" s="76">
        <f>IFERROR(INDEX(Данные!A$4:A$103,MATCH(LARGE(Данные!A$4:A$103,6),Данные!A$4:A$103,0)),"")</f>
        <v/>
      </c>
      <c r="B23" s="77">
        <f>IFERROR(INDEX(Данные!B$4:B$103,MATCH(LARGE(Данные!A$4:A$103,6),Данные!A$4:A$103,0)),"")</f>
        <v/>
      </c>
      <c r="C23" s="78">
        <f>IFERROR(INDEX(Данные!C$4:C$103,MATCH(LARGE(Данные!A$4:A$103,6),Данные!A$4:A$103,0)),"")</f>
        <v/>
      </c>
      <c r="D23" s="70">
        <f>IFERROR(INDEX(Данные!L$4:L$103,MATCH(LARGE(Данные!A$4:A$103,6),Данные!A$4:A$103,0)),"")</f>
        <v/>
      </c>
      <c r="E23" s="70">
        <f>IFERROR(INDEX(Данные!J$4:J$103,MATCH(LARGE(Данные!A$4:A$103,6),Данные!A$4:A$103,0)),"")</f>
        <v/>
      </c>
      <c r="F23" s="70">
        <f>IFERROR(INDEX(Данные!Q$4:Q$103,MATCH(LARGE(Данные!A$4:A$103,6),Данные!A$4:A$103,0)),"")</f>
        <v/>
      </c>
      <c r="G23" s="70">
        <f>IFERROR(INDEX(Данные!V$4:V$103,MATCH(LARGE(Данные!A$4:A$103,6),Данные!A$4:A$103,0)),"")</f>
        <v/>
      </c>
      <c r="H23" s="72">
        <f>IFERROR(INDEX(Данные!X$4:X$103,MATCH(LARGE(Данные!A$4:A$103,6),Данные!A$4:A$103,0)),"")</f>
        <v/>
      </c>
    </row>
    <row r="24" ht="15" customHeight="1" s="44">
      <c r="A24" s="73">
        <f>IFERROR(INDEX(Данные!A$4:A$103,MATCH(LARGE(Данные!A$4:A$103,7),Данные!A$4:A$103,0)),"")</f>
        <v/>
      </c>
      <c r="B24" s="74">
        <f>IFERROR(INDEX(Данные!B$4:B$103,MATCH(LARGE(Данные!A$4:A$103,7),Данные!A$4:A$103,0)),"")</f>
        <v/>
      </c>
      <c r="C24" s="75">
        <f>IFERROR(INDEX(Данные!C$4:C$103,MATCH(LARGE(Данные!A$4:A$103,7),Данные!A$4:A$103,0)),"")</f>
        <v/>
      </c>
      <c r="D24" s="65">
        <f>IFERROR(INDEX(Данные!L$4:L$103,MATCH(LARGE(Данные!A$4:A$103,7),Данные!A$4:A$103,0)),"")</f>
        <v/>
      </c>
      <c r="E24" s="65">
        <f>IFERROR(INDEX(Данные!J$4:J$103,MATCH(LARGE(Данные!A$4:A$103,7),Данные!A$4:A$103,0)),"")</f>
        <v/>
      </c>
      <c r="F24" s="65">
        <f>IFERROR(INDEX(Данные!Q$4:Q$103,MATCH(LARGE(Данные!A$4:A$103,7),Данные!A$4:A$103,0)),"")</f>
        <v/>
      </c>
      <c r="G24" s="65">
        <f>IFERROR(INDEX(Данные!V$4:V$103,MATCH(LARGE(Данные!A$4:A$103,7),Данные!A$4:A$103,0)),"")</f>
        <v/>
      </c>
      <c r="H24" s="67">
        <f>IFERROR(INDEX(Данные!X$4:X$103,MATCH(LARGE(Данные!A$4:A$103,7),Данные!A$4:A$103,0)),"")</f>
        <v/>
      </c>
    </row>
  </sheetData>
  <mergeCells count="12">
    <mergeCell ref="A4:B4"/>
    <mergeCell ref="G4:H4"/>
    <mergeCell ref="E4:F4"/>
    <mergeCell ref="A2:H2"/>
    <mergeCell ref="A16:H16"/>
    <mergeCell ref="E3:F3"/>
    <mergeCell ref="A1:H1"/>
    <mergeCell ref="C3:D3"/>
    <mergeCell ref="A3:B3"/>
    <mergeCell ref="G3:H3"/>
    <mergeCell ref="A6:H6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43" min="1" max="1"/>
    <col width="10" customWidth="1" style="43" min="2" max="2"/>
    <col width="16" customWidth="1" style="43" min="3" max="4"/>
    <col width="30" customWidth="1" style="44" min="4" max="4"/>
  </cols>
  <sheetData>
    <row r="1" ht="31.5" customHeight="1" s="44">
      <c r="A1" s="45" t="inlineStr">
        <is>
          <t>ЭТНА — Настройки системы</t>
        </is>
      </c>
    </row>
    <row r="2" ht="19.5" customHeight="1" s="44">
      <c r="A2" s="46" t="inlineStr">
        <is>
          <t>ПЛАН ПО ДНЯМ НЕДЕЛИ</t>
        </is>
      </c>
    </row>
    <row r="3" ht="15" customHeight="1" s="44">
      <c r="A3" s="47" t="inlineStr">
        <is>
          <t>День</t>
        </is>
      </c>
      <c r="B3" s="47" t="inlineStr">
        <is>
          <t>День (код)</t>
        </is>
      </c>
      <c r="C3" s="47" t="inlineStr">
        <is>
          <t>План выручки</t>
        </is>
      </c>
      <c r="D3" s="47" t="inlineStr">
        <is>
          <t>План наличных</t>
        </is>
      </c>
    </row>
    <row r="4" ht="15" customHeight="1" s="44">
      <c r="A4" s="79" t="inlineStr">
        <is>
          <t>Понедельник</t>
        </is>
      </c>
      <c r="B4" s="80" t="inlineStr">
        <is>
          <t>Пн</t>
        </is>
      </c>
      <c r="C4" s="81" t="n">
        <v>45000</v>
      </c>
      <c r="D4" s="81" t="n">
        <v>12000</v>
      </c>
    </row>
    <row r="5" ht="15" customHeight="1" s="44">
      <c r="A5" s="82" t="inlineStr">
        <is>
          <t>Вторник</t>
        </is>
      </c>
      <c r="B5" s="83" t="inlineStr">
        <is>
          <t>Вт</t>
        </is>
      </c>
      <c r="C5" s="84" t="n">
        <v>50000</v>
      </c>
      <c r="D5" s="84" t="n">
        <v>12000</v>
      </c>
    </row>
    <row r="6" ht="15" customHeight="1" s="44">
      <c r="A6" s="79" t="inlineStr">
        <is>
          <t>Среда</t>
        </is>
      </c>
      <c r="B6" s="80" t="inlineStr">
        <is>
          <t>Ср</t>
        </is>
      </c>
      <c r="C6" s="81" t="n">
        <v>55000</v>
      </c>
      <c r="D6" s="81" t="n">
        <v>12000</v>
      </c>
    </row>
    <row r="7" ht="15" customHeight="1" s="44">
      <c r="A7" s="82" t="inlineStr">
        <is>
          <t>Четверг</t>
        </is>
      </c>
      <c r="B7" s="83" t="inlineStr">
        <is>
          <t>Чт</t>
        </is>
      </c>
      <c r="C7" s="84" t="n">
        <v>60000</v>
      </c>
      <c r="D7" s="84" t="n">
        <v>12000</v>
      </c>
    </row>
    <row r="8" ht="15" customHeight="1" s="44">
      <c r="A8" s="79" t="inlineStr">
        <is>
          <t>Пятница</t>
        </is>
      </c>
      <c r="B8" s="80" t="inlineStr">
        <is>
          <t>Пт</t>
        </is>
      </c>
      <c r="C8" s="81" t="n">
        <v>120000</v>
      </c>
      <c r="D8" s="81" t="n">
        <v>15000</v>
      </c>
    </row>
    <row r="9" ht="15" customHeight="1" s="44">
      <c r="A9" s="82" t="inlineStr">
        <is>
          <t>Суббота</t>
        </is>
      </c>
      <c r="B9" s="83" t="inlineStr">
        <is>
          <t>Сб</t>
        </is>
      </c>
      <c r="C9" s="84" t="n">
        <v>150000</v>
      </c>
      <c r="D9" s="84" t="n">
        <v>20000</v>
      </c>
    </row>
    <row r="10" ht="15" customHeight="1" s="44">
      <c r="A10" s="79" t="inlineStr">
        <is>
          <t>Воскресенье</t>
        </is>
      </c>
      <c r="B10" s="80" t="inlineStr">
        <is>
          <t>Вс</t>
        </is>
      </c>
      <c r="C10" s="81" t="n">
        <v>90000</v>
      </c>
      <c r="D10" s="81" t="n">
        <v>15000</v>
      </c>
    </row>
    <row r="12" ht="19.5" customHeight="1" s="44">
      <c r="A12" s="46" t="inlineStr">
        <is>
          <t>ПАРАМЕТРЫ</t>
        </is>
      </c>
    </row>
    <row r="13" ht="15" customHeight="1" s="44">
      <c r="A13" s="85" t="inlineStr">
        <is>
          <t>Ставка за кальян (₽)</t>
        </is>
      </c>
      <c r="B13" s="86" t="n"/>
      <c r="C13" s="61" t="n"/>
      <c r="D13" s="87" t="n">
        <v>300</v>
      </c>
    </row>
    <row r="14" ht="15" customHeight="1" s="44">
      <c r="A14" s="85" t="inlineStr">
        <is>
          <t>Лимит расхождения кассы (₽)</t>
        </is>
      </c>
      <c r="B14" s="86" t="n"/>
      <c r="C14" s="61" t="n"/>
      <c r="D14" s="87" t="n">
        <v>500</v>
      </c>
    </row>
    <row r="15" ht="15" customHeight="1" s="44">
      <c r="A15" s="85" t="inlineStr">
        <is>
          <t>Смена закрывается до (часов)</t>
        </is>
      </c>
      <c r="B15" s="86" t="n"/>
      <c r="C15" s="61" t="n"/>
      <c r="D15" s="87" t="n">
        <v>6</v>
      </c>
    </row>
    <row r="16" ht="28" customHeight="1" s="44">
      <c r="A16" s="88" t="inlineStr">
        <is>
          <t>PIN владельца (для настроек формы)</t>
        </is>
      </c>
      <c r="B16" s="89" t="n"/>
      <c r="C16" s="90" t="n"/>
      <c r="D16" s="91" t="inlineStr">
        <is>
          <t>0000</t>
        </is>
      </c>
    </row>
    <row r="17" ht="28" customHeight="1" s="44">
      <c r="A17" s="88" t="inlineStr">
        <is>
          <t>Telegram Bot Token</t>
        </is>
      </c>
      <c r="B17" s="89" t="n"/>
      <c r="C17" s="90" t="n"/>
      <c r="D17" s="92" t="inlineStr"/>
    </row>
    <row r="18" ht="28" customHeight="1" s="44">
      <c r="A18" s="88" t="inlineStr">
        <is>
          <t>Chat ID — закрытый (руководитель)</t>
        </is>
      </c>
      <c r="B18" s="89" t="n"/>
      <c r="C18" s="90" t="n"/>
      <c r="D18" s="92" t="inlineStr"/>
    </row>
    <row r="19" ht="28" customHeight="1" s="44">
      <c r="A19" s="88" t="inlineStr">
        <is>
          <t>Chat ID — общий (команда)</t>
        </is>
      </c>
      <c r="B19" s="89" t="n"/>
      <c r="C19" s="90" t="n"/>
      <c r="D19" s="92" t="inlineStr"/>
    </row>
    <row r="20" ht="28" customHeight="1" s="44">
      <c r="A20" s="88" t="inlineStr">
        <is>
          <t>Макс. сумма такси за смену (₽), 0 = отключено</t>
        </is>
      </c>
      <c r="B20" s="89" t="n"/>
      <c r="C20" s="90" t="n"/>
      <c r="D20" s="93" t="n">
        <v>0</v>
      </c>
    </row>
  </sheetData>
  <mergeCells count="11">
    <mergeCell ref="A1:D1"/>
    <mergeCell ref="A13:C13"/>
    <mergeCell ref="A19:C19"/>
    <mergeCell ref="A12:D12"/>
    <mergeCell ref="A14:C14"/>
    <mergeCell ref="A17:C17"/>
    <mergeCell ref="A18:C18"/>
    <mergeCell ref="A2:D2"/>
    <mergeCell ref="A15:C15"/>
    <mergeCell ref="A20:C20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2026-05-04T19:40:30Z</dcterms:created>
  <dcterms:modified xmlns:dcterms="http://purl.org/dc/terms/" xmlns:xsi="http://www.w3.org/2001/XMLSchema-instance" xsi:type="dcterms:W3CDTF">2026-05-07T00:11:58Z</dcterms:modified>
  <cp:revision>0</cp:revision>
</cp:coreProperties>
</file>